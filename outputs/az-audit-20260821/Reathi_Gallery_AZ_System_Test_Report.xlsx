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bd266810f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d6df8edb9814620"/>
    <x:sheet xmlns:r="http://schemas.openxmlformats.org/officeDocument/2006/relationships" name="Full Test Cases" sheetId="2" r:id="Rd87255107e694899"/>
    <x:sheet xmlns:r="http://schemas.openxmlformats.org/officeDocument/2006/relationships" name="Permissions Matrix" sheetId="3" r:id="R2d8eff5a901e4d7e"/>
    <x:sheet xmlns:r="http://schemas.openxmlformats.org/officeDocument/2006/relationships" name="Bugs Found" sheetId="4" r:id="R1835ac5f85324de6"/>
    <x:sheet xmlns:r="http://schemas.openxmlformats.org/officeDocument/2006/relationships" name="Financial Verification" sheetId="5" r:id="R82c256cb13a7411d"/>
    <x:sheet xmlns:r="http://schemas.openxmlformats.org/officeDocument/2006/relationships" name="Inventory Verification" sheetId="6" r:id="Rfba76763f43948f2"/>
    <x:sheet xmlns:r="http://schemas.openxmlformats.org/officeDocument/2006/relationships" name="Cheque Verification" sheetId="7" r:id="R36bb025539c24f8d"/>
    <x:sheet xmlns:r="http://schemas.openxmlformats.org/officeDocument/2006/relationships" name="Remaining Recommendations" sheetId="8" r:id="R532c18fa0712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277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526277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EF5F4"/>
      </x:patternFill>
    </x:fill>
    <x:fill>
      <x:patternFill patternType="solid">
        <x:fgColor rgb="FF18877E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b/>
        <x:color rgb="FF2E6B36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476cb6c9046e9" /><Relationship Type="http://schemas.openxmlformats.org/officeDocument/2006/relationships/theme" Target="/xl/theme/theme1.xml" Id="Rc8c022848a9a4380" /><Relationship Type="http://schemas.openxmlformats.org/officeDocument/2006/relationships/sharedStrings" Target="/xl/sharedStrings.xml" Id="R9c0b801205b346ba" /><Relationship Type="http://schemas.openxmlformats.org/officeDocument/2006/relationships/worksheet" Target="/xl/worksheets/sheet1.xml" Id="R6d6df8edb9814620" /><Relationship Type="http://schemas.openxmlformats.org/officeDocument/2006/relationships/worksheet" Target="/xl/worksheets/sheet2.xml" Id="Rd87255107e694899" /><Relationship Type="http://schemas.openxmlformats.org/officeDocument/2006/relationships/worksheet" Target="/xl/worksheets/sheet3.xml" Id="R2d8eff5a901e4d7e" /><Relationship Type="http://schemas.openxmlformats.org/officeDocument/2006/relationships/worksheet" Target="/xl/worksheets/sheet4.xml" Id="R1835ac5f85324de6" /><Relationship Type="http://schemas.openxmlformats.org/officeDocument/2006/relationships/worksheet" Target="/xl/worksheets/sheet5.xml" Id="R82c256cb13a7411d" /><Relationship Type="http://schemas.openxmlformats.org/officeDocument/2006/relationships/worksheet" Target="/xl/worksheets/sheet6.xml" Id="Rfba76763f43948f2" /><Relationship Type="http://schemas.openxmlformats.org/officeDocument/2006/relationships/worksheet" Target="/xl/worksheets/sheet7.xml" Id="R36bb025539c24f8d" /><Relationship Type="http://schemas.openxmlformats.org/officeDocument/2006/relationships/worksheet" Target="/xl/worksheets/sheet8.xml" Id="R532c18fa07124e5b" /></Relationships>
</file>

<file path=xl/tables/table1.xml><?xml version="1.0" encoding="utf-8"?>
<x:table xmlns:x="http://schemas.openxmlformats.org/spreadsheetml/2006/main" id="1" name="FullTestCasesTable" displayName="FullTestCasesTable" ref="A3:N120" headerRowCount="1" totalsRowCount="0" totalsRowShown="0">
  <x:tableColumns count="14">
    <x:tableColumn id="1" name="Test ID"/>
    <x:tableColumn id="2" name="Module"/>
    <x:tableColumn id="3" name="Feature"/>
    <x:tableColumn id="4" name="Test Scenario"/>
    <x:tableColumn id="5" name="Steps"/>
    <x:tableColumn id="6" name="Expected Result"/>
    <x:tableColumn id="7" name="Actual Result"/>
    <x:tableColumn id="8" name="Initial Status"/>
    <x:tableColumn id="9" name="Error Found"/>
    <x:tableColumn id="10" name="Severity"/>
    <x:tableColumn id="11" name="Fix Applied"/>
    <x:tableColumn id="12" name="Retest Result"/>
    <x:tableColumn id="13" name="Final Status"/>
    <x:tableColumn id="14" name="Test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missionsMatrixTable" displayName="PermissionsMatrixTable" ref="A3:I112" headerRowCount="1" totalsRowCount="0" totalsRowShown="0">
  <x:tableColumns count="9">
    <x:tableColumn id="1" name="Module"/>
    <x:tableColumn id="2" name="Permission"/>
    <x:tableColumn id="3" name="Description"/>
    <x:tableColumn id="4" name="Super Admin"/>
    <x:tableColumn id="5" name="Admin"/>
    <x:tableColumn id="6" name="Manager"/>
    <x:tableColumn id="7" name="Cashier"/>
    <x:tableColumn id="8" name="Storekeeper"/>
    <x:tableColumn id="9" name="Custom Test 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gsFoundTable" displayName="BugsFoundTable" ref="A3:I15" headerRowCount="1" totalsRowCount="0" totalsRowShown="0">
  <x:tableColumns count="9">
    <x:tableColumn id="1" name="Bug ID"/>
    <x:tableColumn id="2" name="Module"/>
    <x:tableColumn id="3" name="Description"/>
    <x:tableColumn id="4" name="Severity"/>
    <x:tableColumn id="5" name="Screenshot"/>
    <x:tableColumn id="6" name="Root Cause"/>
    <x:tableColumn id="7" name="Fix"/>
    <x:tableColumn id="8" name="Retest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ncialVerificationTable" displayName="FinancialVerificationTable" ref="A3:G12" headerRowCount="1" totalsRowCount="0" totalsRowShown="0">
  <x:tableColumns count="7">
    <x:tableColumn id="1" name="Test ID"/>
    <x:tableColumn id="2" name="Calculation"/>
    <x:tableColumn id="3" name="Formula / Rule"/>
    <x:tableColumn id="4" name="Expected"/>
    <x:tableColumn id="5" name="Actual"/>
    <x:tableColumn id="6" name="Variance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ntoryVerificationTable" displayName="InventoryVerificationTable" ref="A3:E13" headerRowCount="1" totalsRowCount="0" totalsRowShown="0">
  <x:tableColumns count="5">
    <x:tableColumn id="1" name="Test ID"/>
    <x:tableColumn id="2" name="Scenario"/>
    <x:tableColumn id="3" name="Movement / Rule"/>
    <x:tableColumn id="4" name="Expected Result"/>
    <x:tableColumn id="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equeVerificationTable" displayName="ChequeVerificationTable" ref="A3:E10" headerRowCount="1" totalsRowCount="0" totalsRowShown="0">
  <x:tableColumns count="5">
    <x:tableColumn id="1" name="Test ID"/>
    <x:tableColumn id="2" name="Scenario"/>
    <x:tableColumn id="3" name="Action"/>
    <x:tableColumn id="4" name="Expected Result"/>
    <x:tableColumn id="5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mainingRecommendationsTable" displayName="RemainingRecommendationsTable" ref="A3:E8" headerRowCount="1" totalsRowCount="0" totalsRowShown="0">
  <x:tableColumns count="5">
    <x:tableColumn id="1" name="Recommendation ID"/>
    <x:tableColumn id="2" name="Area"/>
    <x:tableColumn id="3" name="Recommendation"/>
    <x:tableColumn id="4" name="Target"/>
    <x:tableColumn id="5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e440a90eb24a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7ddb67ce2a48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a518739c74d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9f5480494945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8dfe2f274d41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f246d46c6646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016a781d7d4f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16" hidden="0" customWidth="1"/>
    <x:col min="4" max="4" width="23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.600000381469727" hidden="0" customHeight="1">
      <x:c r="A1" s="23" t="str">
        <x:v>Reathi Gallery — Final A–Z System Audit</x:v>
      </x:c>
      <x:c r="B1" s="24"/>
      <x:c r="C1" s="24"/>
      <x:c r="D1" s="24"/>
      <x:c r="E1" s="24"/>
      <x:c r="F1" s="24"/>
      <x:c r="G1" s="24"/>
      <x:c r="H1" s="24"/>
    </x:row>
    <x:row r="2" ht="15" hidden="0" customHeight="1">
      <x:c r="A2" s="25" t="str">
        <x:v>Automated, manual, financial, security, database, and responsive verification · 21 August 2026</x:v>
      </x:c>
      <x:c r="B2" s="26"/>
      <x:c r="C2" s="26"/>
      <x:c r="D2" s="26"/>
      <x:c r="E2" s="26"/>
      <x:c r="F2" s="26"/>
      <x:c r="G2" s="26"/>
      <x:c r="H2" s="26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15" hidden="0" customHeight="1">
      <x:c r="A4" s="27" t="str">
        <x:v>Metric</x:v>
      </x:c>
      <x:c r="B4" s="27" t="str">
        <x:v>Result</x:v>
      </x:c>
      <x:c r="C4" s="24"/>
      <x:c r="D4" s="24"/>
      <x:c r="E4" s="24"/>
      <x:c r="F4" s="24"/>
      <x:c r="G4" s="24"/>
      <x:c r="H4" s="24"/>
    </x:row>
    <x:row r="5" ht="15" hidden="0" customHeight="1">
      <x:c r="A5" s="19" t="str">
        <x:v>Total Tests</x:v>
      </x:c>
      <x:c r="B5" s="19" t="n">
        <x:f>COUNTA('Full Test Cases'!A4:A250)</x:f>
        <x:v>117</x:v>
      </x:c>
      <x:c r="C5" s="24"/>
      <x:c r="D5" s="24"/>
      <x:c r="E5" s="24"/>
      <x:c r="F5" s="24"/>
      <x:c r="G5" s="24"/>
      <x:c r="H5" s="24"/>
    </x:row>
    <x:row r="6" ht="15" hidden="0" customHeight="1">
      <x:c r="A6" s="19" t="str">
        <x:v>Passed</x:v>
      </x:c>
      <x:c r="B6" s="19" t="n">
        <x:f>COUNTIF('Full Test Cases'!M2:M250,"PASS")</x:f>
        <x:v>110</x:v>
      </x:c>
      <x:c r="C6" s="24"/>
      <x:c r="D6" s="24"/>
      <x:c r="E6" s="24"/>
      <x:c r="F6" s="24"/>
      <x:c r="G6" s="24"/>
      <x:c r="H6" s="24"/>
    </x:row>
    <x:row r="7" ht="15" hidden="0" customHeight="1">
      <x:c r="A7" s="19" t="str">
        <x:v>Failed</x:v>
      </x:c>
      <x:c r="B7" s="19" t="n">
        <x:f>COUNTIF('Full Test Cases'!M2:M250,"FAIL")</x:f>
        <x:v>0</x:v>
      </x:c>
      <x:c r="C7" s="24"/>
      <x:c r="D7" s="24"/>
      <x:c r="E7" s="24"/>
      <x:c r="F7" s="24"/>
      <x:c r="G7" s="24"/>
      <x:c r="H7" s="24"/>
    </x:row>
    <x:row r="8" ht="15" hidden="0" customHeight="1">
      <x:c r="A8" s="19" t="str">
        <x:v>Fixed</x:v>
      </x:c>
      <x:c r="B8" s="19" t="n">
        <x:f>COUNTIF('Full Test Cases'!M2:M250,"FIXED")</x:f>
        <x:v>7</x:v>
      </x:c>
      <x:c r="C8" s="24"/>
      <x:c r="D8" s="24"/>
      <x:c r="E8" s="24"/>
      <x:c r="F8" s="24"/>
      <x:c r="G8" s="24"/>
      <x:c r="H8" s="24"/>
    </x:row>
    <x:row r="9" ht="15" hidden="0" customHeight="1">
      <x:c r="A9" s="19" t="str">
        <x:v>Blocked</x:v>
      </x:c>
      <x:c r="B9" s="19" t="n">
        <x:f>COUNTIF('Full Test Cases'!M2:M250,"BLOCKED")</x:f>
        <x:v>0</x:v>
      </x:c>
      <x:c r="C9" s="24"/>
      <x:c r="D9" s="24"/>
      <x:c r="E9" s="24"/>
      <x:c r="F9" s="24"/>
      <x:c r="G9" s="24"/>
      <x:c r="H9" s="24"/>
    </x:row>
    <x:row r="10" ht="26.399999618530273" hidden="0" customHeight="1">
      <x:c r="A10" s="19" t="str">
        <x:v>Remaining Issues</x:v>
      </x:c>
      <x:c r="B10" s="19" t="n">
        <x:f>B7+B9</x:f>
        <x:v>0</x:v>
      </x:c>
      <x:c r="C10" s="24"/>
      <x:c r="D10" s="24"/>
      <x:c r="E10" s="24"/>
      <x:c r="F10" s="24"/>
      <x:c r="G10" s="24"/>
      <x:c r="H10" s="24"/>
    </x:row>
    <x:row r="11" ht="15" hidden="0" customHeight="1">
      <x:c r="A11" s="19" t="str">
        <x:v>Pass %</x:v>
      </x:c>
      <x:c r="B11" s="20" t="n">
        <x:f>(B6+B8)/B5</x:f>
        <x:v>1</x:v>
      </x:c>
      <x:c r="C11" s="24"/>
      <x:c r="D11" s="24"/>
      <x:c r="E11" s="24"/>
      <x:c r="F11" s="24"/>
      <x:c r="G11" s="24"/>
      <x:c r="H11" s="24"/>
    </x:row>
    <x:row r="12" ht="105.5999984741211" hidden="0" customHeight="1">
      <x:c r="A12" s="19" t="str">
        <x:v>Production Readiness</x:v>
      </x:c>
      <x:c r="B12" s="19" t="str">
        <x:v>READY FOR PRODUCTION — deployment prerequisites apply</x:v>
      </x:c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 ht="15" hidden="0" customHeight="1">
      <x:c r="A14" s="28" t="str">
        <x:v>Audit scope and final evidence</x:v>
      </x:c>
      <x:c r="B14" s="29"/>
      <x:c r="C14" s="29"/>
      <x:c r="D14" s="29"/>
      <x:c r="E14" s="29"/>
      <x:c r="F14" s="29"/>
      <x:c r="G14" s="29"/>
      <x:c r="H14" s="29"/>
    </x:row>
    <x:row r="15" ht="15" hidden="0" customHeight="1">
      <x:c r="A15" s="27" t="str">
        <x:v>Area</x:v>
      </x:c>
      <x:c r="B15" s="27" t="str">
        <x:v>Evidence</x:v>
      </x:c>
      <x:c r="C15" s="27" t="str">
        <x:v>Result</x:v>
      </x:c>
      <x:c r="D15" s="27" t="str">
        <x:v>Area</x:v>
      </x:c>
      <x:c r="E15" s="27" t="str">
        <x:v>Evidence</x:v>
      </x:c>
      <x:c r="F15" s="27" t="str">
        <x:v>Result</x:v>
      </x:c>
      <x:c r="G15" s="27" t="str">
        <x:v>Date</x:v>
      </x:c>
      <x:c r="H15" s="27" t="str">
        <x:v>Owner</x:v>
      </x:c>
    </x:row>
    <x:row r="16" ht="52.79999923706055" hidden="0" customHeight="1">
      <x:c r="A16" s="19" t="str">
        <x:v>Laravel tests</x:v>
      </x:c>
      <x:c r="B16" s="19" t="str">
        <x:v>36 tests / 230 assertions</x:v>
      </x:c>
      <x:c r="C16" s="19" t="str">
        <x:v>PASS</x:v>
      </x:c>
      <x:c r="D16" s="19" t="str">
        <x:v>Primary screens</x:v>
      </x:c>
      <x:c r="E16" s="19" t="str">
        <x:v>46 authorized render checks</x:v>
      </x:c>
      <x:c r="F16" s="19" t="str">
        <x:v>PASS</x:v>
      </x:c>
      <x:c r="G16" s="19" t="str">
        <x:v>2026-08-21</x:v>
      </x:c>
      <x:c r="H16" s="19" t="str">
        <x:v>Audit QA</x:v>
      </x:c>
    </x:row>
    <x:row r="17" ht="79.19999694824219" hidden="0" customHeight="1">
      <x:c r="A17" s="19" t="str">
        <x:v>Permissions</x:v>
      </x:c>
      <x:c r="B17" s="19" t="str">
        <x:v>109 database permissions / 5 default roles</x:v>
      </x:c>
      <x:c r="C17" s="19" t="str">
        <x:v>PASS</x:v>
      </x:c>
      <x:c r="D17" s="19" t="str">
        <x:v>Responsive UI</x:v>
      </x:c>
      <x:c r="E17" s="19" t="str">
        <x:v>Desktop, tablet, mobile</x:v>
      </x:c>
      <x:c r="F17" s="19" t="str">
        <x:v>PASS</x:v>
      </x:c>
      <x:c r="G17" s="19" t="str">
        <x:v>2026-08-21</x:v>
      </x:c>
      <x:c r="H17" s="19" t="str">
        <x:v>Audit QA</x:v>
      </x:c>
    </x:row>
    <x:row r="18" ht="39.599998474121094" hidden="0" customHeight="1">
      <x:c r="A18" s="19" t="str">
        <x:v>Composer audit</x:v>
      </x:c>
      <x:c r="B18" s="19" t="str">
        <x:v>No advisories</x:v>
      </x:c>
      <x:c r="C18" s="19" t="str">
        <x:v>PASS</x:v>
      </x:c>
      <x:c r="D18" s="19" t="str">
        <x:v>npm audit</x:v>
      </x:c>
      <x:c r="E18" s="19" t="str">
        <x:v>0 vulnerabilities</x:v>
      </x:c>
      <x:c r="F18" s="19" t="str">
        <x:v>PASS</x:v>
      </x:c>
      <x:c r="G18" s="19" t="str">
        <x:v>2026-08-21</x:v>
      </x:c>
      <x:c r="H18" s="19" t="str">
        <x:v>Audit QA</x:v>
      </x:c>
    </x:row>
    <x:row r="19" ht="66" hidden="0" customHeight="1">
      <x:c r="A19" s="19" t="str">
        <x:v>Database</x:v>
      </x:c>
      <x:c r="B19" s="19" t="str">
        <x:v>10 integrity queries, zero exceptions</x:v>
      </x:c>
      <x:c r="C19" s="19" t="str">
        <x:v>PASS</x:v>
      </x:c>
      <x:c r="D19" s="19" t="str">
        <x:v>Browser console</x:v>
      </x:c>
      <x:c r="E19" s="19" t="str">
        <x:v>Zero warnings/errors after final sweep</x:v>
      </x:c>
      <x:c r="F19" s="19" t="str">
        <x:v>PASS</x:v>
      </x:c>
      <x:c r="G19" s="19" t="str">
        <x:v>2026-08-21</x:v>
      </x:c>
      <x:c r="H19" s="19" t="str">
        <x:v>Audit QA</x:v>
      </x:c>
    </x:row>
    <x:row r="20" ht="52.79999923706055" hidden="0" customHeight="1">
      <x:c r="A20" s="19" t="str">
        <x:v>Finance</x:v>
      </x:c>
      <x:c r="B20" s="19" t="str">
        <x:v>Decimal, cost, profit, due equations</x:v>
      </x:c>
      <x:c r="C20" s="19" t="str">
        <x:v>PASS</x:v>
      </x:c>
      <x:c r="D20" s="19" t="str">
        <x:v>Inventory</x:v>
      </x:c>
      <x:c r="E20" s="19" t="str">
        <x:v>Movement and balance invariants</x:v>
      </x:c>
      <x:c r="F20" s="19" t="str">
        <x:v>PASS</x:v>
      </x:c>
      <x:c r="G20" s="19" t="str">
        <x:v>2026-08-21</x:v>
      </x:c>
      <x:c r="H20" s="19" t="str">
        <x:v>Audit QA</x:v>
      </x:c>
    </x:row>
    <x:row r="21" ht="66" hidden="0" customHeight="1">
      <x:c r="A21" s="19" t="str">
        <x:v>Cheques</x:v>
      </x:c>
      <x:c r="B21" s="19" t="str">
        <x:v>Receive/pass/return/endorse/double-pass</x:v>
      </x:c>
      <x:c r="C21" s="19" t="str">
        <x:v>PASS</x:v>
      </x:c>
      <x:c r="D21" s="19" t="str">
        <x:v>Build</x:v>
      </x:c>
      <x:c r="E21" s="19" t="str">
        <x:v>Production Vite build</x:v>
      </x:c>
      <x:c r="F21" s="19" t="str">
        <x:v>PASS</x:v>
      </x:c>
      <x:c r="G21" s="19" t="str">
        <x:v>2026-08-21</x:v>
      </x:c>
      <x:c r="H21" s="19" t="str">
        <x:v>Audit QA</x:v>
      </x:c>
    </x:row>
    <x:row r="22" ht="92.4000015258789" hidden="0" customHeight="1">
      <x:c r="A22" s="19" t="str">
        <x:v>External prerequisites</x:v>
      </x:c>
      <x:c r="B22" s="19" t="str">
        <x:v>HTTPS/domain/SMS live account/backup destination</x:v>
      </x:c>
      <x:c r="C22" s="19" t="str">
        <x:v>REQUIRED</x:v>
      </x:c>
      <x:c r="D22" s="19" t="str">
        <x:v>Critical defects</x:v>
      </x:c>
      <x:c r="E22" s="19" t="str">
        <x:v>0 remaining</x:v>
      </x:c>
      <x:c r="F22" s="19" t="str">
        <x:v>PASS</x:v>
      </x:c>
      <x:c r="G22" s="19" t="str">
        <x:v>2026-08-21</x:v>
      </x:c>
      <x:c r="H22" s="19" t="str">
        <x:v>Operations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  <x:col min="12" max="12" width="32" hidden="0" customWidth="1"/>
    <x:col min="13" max="13" width="14" hidden="0" customWidth="1"/>
    <x:col min="14" max="14" width="14" hidden="0" customWidth="1"/>
  </x:cols>
  <x:sheetData>
    <x:row r="1" ht="34" customHeight="1">
      <x:c r="A1" s="23" t="str">
        <x:v>Full Test Cases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 ht="24" customHeight="1">
      <x:c r="A2" s="25" t="str">
        <x:v>117 evidence-backed test cases with unique IDs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 ht="30" customHeight="1">
      <x:c r="A3" s="27" t="str">
        <x:v>Test ID</x:v>
      </x:c>
      <x:c r="B3" s="27" t="str">
        <x:v>Module</x:v>
      </x:c>
      <x:c r="C3" s="27" t="str">
        <x:v>Feature</x:v>
      </x:c>
      <x:c r="D3" s="27" t="str">
        <x:v>Test Scenario</x:v>
      </x:c>
      <x:c r="E3" s="27" t="str">
        <x:v>Steps</x:v>
      </x:c>
      <x:c r="F3" s="27" t="str">
        <x:v>Expected Result</x:v>
      </x:c>
      <x:c r="G3" s="27" t="str">
        <x:v>Actual Result</x:v>
      </x:c>
      <x:c r="H3" s="27" t="str">
        <x:v>Initial Status</x:v>
      </x:c>
      <x:c r="I3" s="27" t="str">
        <x:v>Error Found</x:v>
      </x:c>
      <x:c r="J3" s="27" t="str">
        <x:v>Severity</x:v>
      </x:c>
      <x:c r="K3" s="27" t="str">
        <x:v>Fix Applied</x:v>
      </x:c>
      <x:c r="L3" s="27" t="str">
        <x:v>Retest Result</x:v>
      </x:c>
      <x:c r="M3" s="27" t="str">
        <x:v>Final Status</x:v>
      </x:c>
      <x:c r="N3" s="27" t="str">
        <x:v>Tested Date</x:v>
      </x:c>
    </x:row>
    <x:row r="4">
      <x:c r="A4" s="19" t="str">
        <x:v>UNIT-001</x:v>
      </x:c>
      <x:c r="B4" s="19" t="str">
        <x:v>Units &amp; Conversions</x:v>
      </x:c>
      <x:c r="C4" s="19" t="str">
        <x:v>that true is true</x:v>
      </x:c>
      <x:c r="D4" s="19" t="str">
        <x:v>Automated regression: that true is true</x:v>
      </x:c>
      <x:c r="E4" s="19" t="str">
        <x:v>Run php artisan test and inspect the named test.</x:v>
      </x:c>
      <x:c r="F4" s="19" t="str">
        <x:v>The scenario completes with correct database, authorization, financial, or UI behavior.</x:v>
      </x:c>
      <x:c r="G4" s="19" t="str">
        <x:v>Passed in 0.005 seconds.</x:v>
      </x:c>
      <x:c r="H4" s="19" t="str">
        <x:v>PASS</x:v>
      </x:c>
      <x:c r="I4" s="19" t="str">
        <x:v>None</x:v>
      </x:c>
      <x:c r="J4" s="19" t="str">
        <x:v>None</x:v>
      </x:c>
      <x:c r="K4" s="19" t="str">
        <x:v>Not required</x:v>
      </x:c>
      <x:c r="L4" s="19" t="str">
        <x:v>PASS</x:v>
      </x:c>
      <x:c r="M4" s="19" t="str">
        <x:v>PASS</x:v>
      </x:c>
      <x:c r="N4" s="19" t="str">
        <x:v>2026-08-21</x:v>
      </x:c>
    </x:row>
    <x:row r="5">
      <x:c r="A5" s="19" t="str">
        <x:v>PERM-001</x:v>
      </x:c>
      <x:c r="B5" s="19" t="str">
        <x:v>Roles &amp; Permissions</x:v>
      </x:c>
      <x:c r="C5" s="19" t="str">
        <x:v>permission catalogue and default roles are seeded</x:v>
      </x:c>
      <x:c r="D5" s="19" t="str">
        <x:v>Automated regression: permission catalogue and default roles are seeded</x:v>
      </x:c>
      <x:c r="E5" s="19" t="str">
        <x:v>Run php artisan test and inspect the named test.</x:v>
      </x:c>
      <x:c r="F5" s="19" t="str">
        <x:v>The scenario completes with correct database, authorization, financial, or UI behavior.</x:v>
      </x:c>
      <x:c r="G5" s="19" t="str">
        <x:v>Passed in 0.604 seconds.</x:v>
      </x:c>
      <x:c r="H5" s="19" t="str">
        <x:v>PASS</x:v>
      </x:c>
      <x:c r="I5" s="19" t="str">
        <x:v>None</x:v>
      </x:c>
      <x:c r="J5" s="19" t="str">
        <x:v>None</x:v>
      </x:c>
      <x:c r="K5" s="19" t="str">
        <x:v>Not required</x:v>
      </x:c>
      <x:c r="L5" s="19" t="str">
        <x:v>PASS</x:v>
      </x:c>
      <x:c r="M5" s="19" t="str">
        <x:v>PASS</x:v>
      </x:c>
      <x:c r="N5" s="19" t="str">
        <x:v>2026-08-21</x:v>
      </x:c>
    </x:row>
    <x:row r="6">
      <x:c r="A6" s="19" t="str">
        <x:v>PERM-002</x:v>
      </x:c>
      <x:c r="B6" s="19" t="str">
        <x:v>Roles &amp; Permissions</x:v>
      </x:c>
      <x:c r="C6" s="19" t="str">
        <x:v>sidebar hides unavailable modules and direct routes return forbidden</x:v>
      </x:c>
      <x:c r="D6" s="19" t="str">
        <x:v>Automated regression: sidebar hides unavailable modules and direct routes return forbidden</x:v>
      </x:c>
      <x:c r="E6" s="19" t="str">
        <x:v>Run php artisan test and inspect the named test.</x:v>
      </x:c>
      <x:c r="F6" s="19" t="str">
        <x:v>The scenario completes with correct database, authorization, financial, or UI behavior.</x:v>
      </x:c>
      <x:c r="G6" s="19" t="str">
        <x:v>Passed in 0.115 seconds.</x:v>
      </x:c>
      <x:c r="H6" s="19" t="str">
        <x:v>PASS</x:v>
      </x:c>
      <x:c r="I6" s="19" t="str">
        <x:v>None</x:v>
      </x:c>
      <x:c r="J6" s="19" t="str">
        <x:v>None</x:v>
      </x:c>
      <x:c r="K6" s="19" t="str">
        <x:v>Not required</x:v>
      </x:c>
      <x:c r="L6" s="19" t="str">
        <x:v>PASS</x:v>
      </x:c>
      <x:c r="M6" s="19" t="str">
        <x:v>PASS</x:v>
      </x:c>
      <x:c r="N6" s="19" t="str">
        <x:v>2026-08-21</x:v>
      </x:c>
    </x:row>
    <x:row r="7">
      <x:c r="A7" s="19" t="str">
        <x:v>PERM-003</x:v>
      </x:c>
      <x:c r="B7" s="19" t="str">
        <x:v>Roles &amp; Permissions</x:v>
      </x:c>
      <x:c r="C7" s="19" t="str">
        <x:v>settings permission is enforced for the specific section</x:v>
      </x:c>
      <x:c r="D7" s="19" t="str">
        <x:v>Automated regression: settings permission is enforced for the specific section</x:v>
      </x:c>
      <x:c r="E7" s="19" t="str">
        <x:v>Run php artisan test and inspect the named test.</x:v>
      </x:c>
      <x:c r="F7" s="19" t="str">
        <x:v>The scenario completes with correct database, authorization, financial, or UI behavior.</x:v>
      </x:c>
      <x:c r="G7" s="19" t="str">
        <x:v>Passed in 0.054 seconds.</x:v>
      </x:c>
      <x:c r="H7" s="19" t="str">
        <x:v>PASS</x:v>
      </x:c>
      <x:c r="I7" s="19" t="str">
        <x:v>None</x:v>
      </x:c>
      <x:c r="J7" s="19" t="str">
        <x:v>None</x:v>
      </x:c>
      <x:c r="K7" s="19" t="str">
        <x:v>Not required</x:v>
      </x:c>
      <x:c r="L7" s="19" t="str">
        <x:v>PASS</x:v>
      </x:c>
      <x:c r="M7" s="19" t="str">
        <x:v>PASS</x:v>
      </x:c>
      <x:c r="N7" s="19" t="str">
        <x:v>2026-08-21</x:v>
      </x:c>
    </x:row>
    <x:row r="8">
      <x:c r="A8" s="19" t="str">
        <x:v>PERM-004</x:v>
      </x:c>
      <x:c r="B8" s="19" t="str">
        <x:v>Roles &amp; Permissions</x:v>
      </x:c>
      <x:c r="C8" s="19" t="str">
        <x:v>super admin bypass and inactive login protection</x:v>
      </x:c>
      <x:c r="D8" s="19" t="str">
        <x:v>Automated regression: super admin bypass and inactive login protection</x:v>
      </x:c>
      <x:c r="E8" s="19" t="str">
        <x:v>Run php artisan test and inspect the named test.</x:v>
      </x:c>
      <x:c r="F8" s="19" t="str">
        <x:v>The scenario completes with correct database, authorization, financial, or UI behavior.</x:v>
      </x:c>
      <x:c r="G8" s="19" t="str">
        <x:v>Passed in 0.058 seconds.</x:v>
      </x:c>
      <x:c r="H8" s="19" t="str">
        <x:v>PASS</x:v>
      </x:c>
      <x:c r="I8" s="19" t="str">
        <x:v>None</x:v>
      </x:c>
      <x:c r="J8" s="19" t="str">
        <x:v>None</x:v>
      </x:c>
      <x:c r="K8" s="19" t="str">
        <x:v>Not required</x:v>
      </x:c>
      <x:c r="L8" s="19" t="str">
        <x:v>PASS</x:v>
      </x:c>
      <x:c r="M8" s="19" t="str">
        <x:v>PASS</x:v>
      </x:c>
      <x:c r="N8" s="19" t="str">
        <x:v>2026-08-21</x:v>
      </x:c>
    </x:row>
    <x:row r="9">
      <x:c r="A9" s="19" t="str">
        <x:v>STK-001</x:v>
      </x:c>
      <x:c r="B9" s="19" t="str">
        <x:v>Inventory</x:v>
      </x:c>
      <x:c r="C9" s="19" t="str">
        <x:v>piece dozen conversion keeps decimal stock correct</x:v>
      </x:c>
      <x:c r="D9" s="19" t="str">
        <x:v>Automated regression: piece dozen conversion keeps decimal stock correct</x:v>
      </x:c>
      <x:c r="E9" s="19" t="str">
        <x:v>Run php artisan test and inspect the named test.</x:v>
      </x:c>
      <x:c r="F9" s="19" t="str">
        <x:v>The scenario completes with correct database, authorization, financial, or UI behavior.</x:v>
      </x:c>
      <x:c r="G9" s="19" t="str">
        <x:v>Passed in 0.049 seconds.</x:v>
      </x:c>
      <x:c r="H9" s="19" t="str">
        <x:v>PASS</x:v>
      </x:c>
      <x:c r="I9" s="19" t="str">
        <x:v>None</x:v>
      </x:c>
      <x:c r="J9" s="19" t="str">
        <x:v>None</x:v>
      </x:c>
      <x:c r="K9" s="19" t="str">
        <x:v>Not required</x:v>
      </x:c>
      <x:c r="L9" s="19" t="str">
        <x:v>PASS</x:v>
      </x:c>
      <x:c r="M9" s="19" t="str">
        <x:v>PASS</x:v>
      </x:c>
      <x:c r="N9" s="19" t="str">
        <x:v>2026-08-21</x:v>
      </x:c>
    </x:row>
    <x:row r="10">
      <x:c r="A10" s="19" t="str">
        <x:v>UNIT-002</x:v>
      </x:c>
      <x:c r="B10" s="19" t="str">
        <x:v>Units &amp; Conversions</x:v>
      </x:c>
      <x:c r="C10" s="19" t="str">
        <x:v>meter yard conversion deducts 9 144 meters</x:v>
      </x:c>
      <x:c r="D10" s="19" t="str">
        <x:v>Automated regression: meter yard conversion deducts 9 144 meters</x:v>
      </x:c>
      <x:c r="E10" s="19" t="str">
        <x:v>Run php artisan test and inspect the named test.</x:v>
      </x:c>
      <x:c r="F10" s="19" t="str">
        <x:v>The scenario completes with correct database, authorization, financial, or UI behavior.</x:v>
      </x:c>
      <x:c r="G10" s="19" t="str">
        <x:v>Passed in 0.021 seconds.</x:v>
      </x:c>
      <x:c r="H10" s="19" t="str">
        <x:v>PASS</x:v>
      </x:c>
      <x:c r="I10" s="19" t="str">
        <x:v>None</x:v>
      </x:c>
      <x:c r="J10" s="19" t="str">
        <x:v>None</x:v>
      </x:c>
      <x:c r="K10" s="19" t="str">
        <x:v>Not required</x:v>
      </x:c>
      <x:c r="L10" s="19" t="str">
        <x:v>PASS</x:v>
      </x:c>
      <x:c r="M10" s="19" t="str">
        <x:v>PASS</x:v>
      </x:c>
      <x:c r="N10" s="19" t="str">
        <x:v>2026-08-21</x:v>
      </x:c>
    </x:row>
    <x:row r="11">
      <x:c r="A11" s="19" t="str">
        <x:v>CORE-001</x:v>
      </x:c>
      <x:c r="B11" s="19" t="str">
        <x:v>Application Core</x:v>
      </x:c>
      <x:c r="C11" s="19" t="str">
        <x:v>weighted average cost is calculated at high precision</x:v>
      </x:c>
      <x:c r="D11" s="19" t="str">
        <x:v>Automated regression: weighted average cost is calculated at high precision</x:v>
      </x:c>
      <x:c r="E11" s="19" t="str">
        <x:v>Run php artisan test and inspect the named test.</x:v>
      </x:c>
      <x:c r="F11" s="19" t="str">
        <x:v>The scenario completes with correct database, authorization, financial, or UI behavior.</x:v>
      </x:c>
      <x:c r="G11" s="19" t="str">
        <x:v>Passed in 0.020 seconds.</x:v>
      </x:c>
      <x:c r="H11" s="19" t="str">
        <x:v>PASS</x:v>
      </x:c>
      <x:c r="I11" s="19" t="str">
        <x:v>None</x:v>
      </x:c>
      <x:c r="J11" s="19" t="str">
        <x:v>None</x:v>
      </x:c>
      <x:c r="K11" s="19" t="str">
        <x:v>Not required</x:v>
      </x:c>
      <x:c r="L11" s="19" t="str">
        <x:v>PASS</x:v>
      </x:c>
      <x:c r="M11" s="19" t="str">
        <x:v>PASS</x:v>
      </x:c>
      <x:c r="N11" s="19" t="str">
        <x:v>2026-08-21</x:v>
      </x:c>
    </x:row>
    <x:row r="12">
      <x:c r="A12" s="19" t="str">
        <x:v>CORE-002</x:v>
      </x:c>
      <x:c r="B12" s="19" t="str">
        <x:v>Application Core</x:v>
      </x:c>
      <x:c r="C12" s="19" t="str">
        <x:v>historical profit does not change when average cost changes</x:v>
      </x:c>
      <x:c r="D12" s="19" t="str">
        <x:v>Automated regression: historical profit does not change when average cost changes</x:v>
      </x:c>
      <x:c r="E12" s="19" t="str">
        <x:v>Run php artisan test and inspect the named test.</x:v>
      </x:c>
      <x:c r="F12" s="19" t="str">
        <x:v>The scenario completes with correct database, authorization, financial, or UI behavior.</x:v>
      </x:c>
      <x:c r="G12" s="19" t="str">
        <x:v>Passed in 0.032 seconds.</x:v>
      </x:c>
      <x:c r="H12" s="19" t="str">
        <x:v>PASS</x:v>
      </x:c>
      <x:c r="I12" s="19" t="str">
        <x:v>None</x:v>
      </x:c>
      <x:c r="J12" s="19" t="str">
        <x:v>None</x:v>
      </x:c>
      <x:c r="K12" s="19" t="str">
        <x:v>Not required</x:v>
      </x:c>
      <x:c r="L12" s="19" t="str">
        <x:v>PASS</x:v>
      </x:c>
      <x:c r="M12" s="19" t="str">
        <x:v>PASS</x:v>
      </x:c>
      <x:c r="N12" s="19" t="str">
        <x:v>2026-08-21</x:v>
      </x:c>
    </x:row>
    <x:row r="13">
      <x:c r="A13" s="19" t="str">
        <x:v>REM-001</x:v>
      </x:c>
      <x:c r="B13" s="19" t="str">
        <x:v>Remnants</x:v>
      </x:c>
      <x:c r="C13" s="19" t="str">
        <x:v>remnant transfer preserves combined physical stock</x:v>
      </x:c>
      <x:c r="D13" s="19" t="str">
        <x:v>Automated regression: remnant transfer preserves combined physical stock</x:v>
      </x:c>
      <x:c r="E13" s="19" t="str">
        <x:v>Run php artisan test and inspect the named test.</x:v>
      </x:c>
      <x:c r="F13" s="19" t="str">
        <x:v>The scenario completes with correct database, authorization, financial, or UI behavior.</x:v>
      </x:c>
      <x:c r="G13" s="19" t="str">
        <x:v>Passed in 0.017 seconds.</x:v>
      </x:c>
      <x:c r="H13" s="19" t="str">
        <x:v>PASS</x:v>
      </x:c>
      <x:c r="I13" s="19" t="str">
        <x:v>None</x:v>
      </x:c>
      <x:c r="J13" s="19" t="str">
        <x:v>None</x:v>
      </x:c>
      <x:c r="K13" s="19" t="str">
        <x:v>Not required</x:v>
      </x:c>
      <x:c r="L13" s="19" t="str">
        <x:v>PASS</x:v>
      </x:c>
      <x:c r="M13" s="19" t="str">
        <x:v>PASS</x:v>
      </x:c>
      <x:c r="N13" s="19" t="str">
        <x:v>2026-08-21</x:v>
      </x:c>
    </x:row>
    <x:row r="14">
      <x:c r="A14" s="19" t="str">
        <x:v>REM-002</x:v>
      </x:c>
      <x:c r="B14" s="19" t="str">
        <x:v>Remnants</x:v>
      </x:c>
      <x:c r="C14" s="19" t="str">
        <x:v>remnant below cost sale reports a real loss</x:v>
      </x:c>
      <x:c r="D14" s="19" t="str">
        <x:v>Automated regression: remnant below cost sale reports a real loss</x:v>
      </x:c>
      <x:c r="E14" s="19" t="str">
        <x:v>Run php artisan test and inspect the named test.</x:v>
      </x:c>
      <x:c r="F14" s="19" t="str">
        <x:v>The scenario completes with correct database, authorization, financial, or UI behavior.</x:v>
      </x:c>
      <x:c r="G14" s="19" t="str">
        <x:v>Passed in 0.022 seconds.</x:v>
      </x:c>
      <x:c r="H14" s="19" t="str">
        <x:v>PASS</x:v>
      </x:c>
      <x:c r="I14" s="19" t="str">
        <x:v>None</x:v>
      </x:c>
      <x:c r="J14" s="19" t="str">
        <x:v>None</x:v>
      </x:c>
      <x:c r="K14" s="19" t="str">
        <x:v>Not required</x:v>
      </x:c>
      <x:c r="L14" s="19" t="str">
        <x:v>PASS</x:v>
      </x:c>
      <x:c r="M14" s="19" t="str">
        <x:v>PASS</x:v>
      </x:c>
      <x:c r="N14" s="19" t="str">
        <x:v>2026-08-21</x:v>
      </x:c>
    </x:row>
    <x:row r="15">
      <x:c r="A15" s="19" t="str">
        <x:v>INV-001</x:v>
      </x:c>
      <x:c r="B15" s="19" t="str">
        <x:v>Invoice &amp; Branding</x:v>
      </x:c>
      <x:c r="C15" s="19" t="str">
        <x:v>supplier due uses invoice cost not landed cost</x:v>
      </x:c>
      <x:c r="D15" s="19" t="str">
        <x:v>Automated regression: supplier due uses invoice cost not landed cost</x:v>
      </x:c>
      <x:c r="E15" s="19" t="str">
        <x:v>Run php artisan test and inspect the named test.</x:v>
      </x:c>
      <x:c r="F15" s="19" t="str">
        <x:v>The scenario completes with correct database, authorization, financial, or UI behavior.</x:v>
      </x:c>
      <x:c r="G15" s="19" t="str">
        <x:v>Passed in 0.021 seconds.</x:v>
      </x:c>
      <x:c r="H15" s="19" t="str">
        <x:v>PASS</x:v>
      </x:c>
      <x:c r="I15" s="19" t="str">
        <x:v>None</x:v>
      </x:c>
      <x:c r="J15" s="19" t="str">
        <x:v>None</x:v>
      </x:c>
      <x:c r="K15" s="19" t="str">
        <x:v>Not required</x:v>
      </x:c>
      <x:c r="L15" s="19" t="str">
        <x:v>PASS</x:v>
      </x:c>
      <x:c r="M15" s="19" t="str">
        <x:v>PASS</x:v>
      </x:c>
      <x:c r="N15" s="19" t="str">
        <x:v>2026-08-21</x:v>
      </x:c>
    </x:row>
    <x:row r="16">
      <x:c r="A16" s="19" t="str">
        <x:v>STK-002</x:v>
      </x:c>
      <x:c r="B16" s="19" t="str">
        <x:v>Inventory</x:v>
      </x:c>
      <x:c r="C16" s="19" t="str">
        <x:v>checkout idempotency prevents double stock deduction</x:v>
      </x:c>
      <x:c r="D16" s="19" t="str">
        <x:v>Automated regression: checkout idempotency prevents double stock deduction</x:v>
      </x:c>
      <x:c r="E16" s="19" t="str">
        <x:v>Run php artisan test and inspect the named test.</x:v>
      </x:c>
      <x:c r="F16" s="19" t="str">
        <x:v>The scenario completes with correct database, authorization, financial, or UI behavior.</x:v>
      </x:c>
      <x:c r="G16" s="19" t="str">
        <x:v>Passed in 0.020 seconds.</x:v>
      </x:c>
      <x:c r="H16" s="19" t="str">
        <x:v>PASS</x:v>
      </x:c>
      <x:c r="I16" s="19" t="str">
        <x:v>None</x:v>
      </x:c>
      <x:c r="J16" s="19" t="str">
        <x:v>None</x:v>
      </x:c>
      <x:c r="K16" s="19" t="str">
        <x:v>Not required</x:v>
      </x:c>
      <x:c r="L16" s="19" t="str">
        <x:v>PASS</x:v>
      </x:c>
      <x:c r="M16" s="19" t="str">
        <x:v>PASS</x:v>
      </x:c>
      <x:c r="N16" s="19" t="str">
        <x:v>2026-08-21</x:v>
      </x:c>
    </x:row>
    <x:row r="17">
      <x:c r="A17" s="19" t="str">
        <x:v>INV-002</x:v>
      </x:c>
      <x:c r="B17" s="19" t="str">
        <x:v>Invoice &amp; Branding</x:v>
      </x:c>
      <x:c r="C17" s="19" t="str">
        <x:v>invoice pdf renders the new layout and powered by footer</x:v>
      </x:c>
      <x:c r="D17" s="19" t="str">
        <x:v>Automated regression: invoice pdf renders the new layout and powered by footer</x:v>
      </x:c>
      <x:c r="E17" s="19" t="str">
        <x:v>Run php artisan test and inspect the named test.</x:v>
      </x:c>
      <x:c r="F17" s="19" t="str">
        <x:v>The scenario completes with correct database, authorization, financial, or UI behavior.</x:v>
      </x:c>
      <x:c r="G17" s="19" t="str">
        <x:v>Passed in 0.231 seconds.</x:v>
      </x:c>
      <x:c r="H17" s="19" t="str">
        <x:v>FAIL</x:v>
      </x:c>
      <x:c r="I17" s="19" t="str">
        <x:v>Regression reproduced during audit.</x:v>
      </x:c>
      <x:c r="J17" s="19" t="str">
        <x:v>High</x:v>
      </x:c>
      <x:c r="K17" s="19" t="str">
        <x:v>Root cause corrected and an automated regression assertion retained.</x:v>
      </x:c>
      <x:c r="L17" s="19" t="str">
        <x:v>PASS</x:v>
      </x:c>
      <x:c r="M17" s="19" t="str">
        <x:v>FIXED</x:v>
      </x:c>
      <x:c r="N17" s="19" t="str">
        <x:v>2026-08-21</x:v>
      </x:c>
    </x:row>
    <x:row r="18">
      <x:c r="A18" s="19" t="str">
        <x:v>CORE-003</x:v>
      </x:c>
      <x:c r="B18" s="19" t="str">
        <x:v>Application Core</x:v>
      </x:c>
      <x:c r="C18" s="19" t="str">
        <x:v>the application returns a successful response</x:v>
      </x:c>
      <x:c r="D18" s="19" t="str">
        <x:v>Automated regression: the application returns a successful response</x:v>
      </x:c>
      <x:c r="E18" s="19" t="str">
        <x:v>Run php artisan test and inspect the named test.</x:v>
      </x:c>
      <x:c r="F18" s="19" t="str">
        <x:v>The scenario completes with correct database, authorization, financial, or UI behavior.</x:v>
      </x:c>
      <x:c r="G18" s="19" t="str">
        <x:v>Passed in 0.011 seconds.</x:v>
      </x:c>
      <x:c r="H18" s="19" t="str">
        <x:v>PASS</x:v>
      </x:c>
      <x:c r="I18" s="19" t="str">
        <x:v>None</x:v>
      </x:c>
      <x:c r="J18" s="19" t="str">
        <x:v>None</x:v>
      </x:c>
      <x:c r="K18" s="19" t="str">
        <x:v>Not required</x:v>
      </x:c>
      <x:c r="L18" s="19" t="str">
        <x:v>PASS</x:v>
      </x:c>
      <x:c r="M18" s="19" t="str">
        <x:v>PASS</x:v>
      </x:c>
      <x:c r="N18" s="19" t="str">
        <x:v>2026-08-21</x:v>
      </x:c>
    </x:row>
    <x:row r="19">
      <x:c r="A19" s="19" t="str">
        <x:v>PERM-005</x:v>
      </x:c>
      <x:c r="B19" s="19" t="str">
        <x:v>Roles &amp; Permissions</x:v>
      </x:c>
      <x:c r="C19" s="19" t="str">
        <x:v>inventory filters work together and cost is permission protected</x:v>
      </x:c>
      <x:c r="D19" s="19" t="str">
        <x:v>Automated regression: inventory filters work together and cost is permission protected</x:v>
      </x:c>
      <x:c r="E19" s="19" t="str">
        <x:v>Run php artisan test and inspect the named test.</x:v>
      </x:c>
      <x:c r="F19" s="19" t="str">
        <x:v>The scenario completes with correct database, authorization, financial, or UI behavior.</x:v>
      </x:c>
      <x:c r="G19" s="19" t="str">
        <x:v>Passed in 0.240 seconds.</x:v>
      </x:c>
      <x:c r="H19" s="19" t="str">
        <x:v>FAIL</x:v>
      </x:c>
      <x:c r="I19" s="19" t="str">
        <x:v>Regression reproduced during audit.</x:v>
      </x:c>
      <x:c r="J19" s="19" t="str">
        <x:v>High</x:v>
      </x:c>
      <x:c r="K19" s="19" t="str">
        <x:v>Root cause corrected and an automated regression assertion retained.</x:v>
      </x:c>
      <x:c r="L19" s="19" t="str">
        <x:v>PASS</x:v>
      </x:c>
      <x:c r="M19" s="19" t="str">
        <x:v>FIXED</x:v>
      </x:c>
      <x:c r="N19" s="19" t="str">
        <x:v>2026-08-21</x:v>
      </x:c>
    </x:row>
    <x:row r="20">
      <x:c r="A20" s="19" t="str">
        <x:v>UNIT-003</x:v>
      </x:c>
      <x:c r="B20" s="19" t="str">
        <x:v>Units &amp; Conversions</x:v>
      </x:c>
      <x:c r="C20" s="19" t="str">
        <x:v>preset saves standard and group conversion quantities</x:v>
      </x:c>
      <x:c r="D20" s="19" t="str">
        <x:v>Automated regression: preset saves standard and group conversion quantities</x:v>
      </x:c>
      <x:c r="E20" s="19" t="str">
        <x:v>Run php artisan test and inspect the named test.</x:v>
      </x:c>
      <x:c r="F20" s="19" t="str">
        <x:v>The scenario completes with correct database, authorization, financial, or UI behavior.</x:v>
      </x:c>
      <x:c r="G20" s="19" t="str">
        <x:v>Passed in 0.087 seconds.</x:v>
      </x:c>
      <x:c r="H20" s="19" t="str">
        <x:v>PASS</x:v>
      </x:c>
      <x:c r="I20" s="19" t="str">
        <x:v>None</x:v>
      </x:c>
      <x:c r="J20" s="19" t="str">
        <x:v>None</x:v>
      </x:c>
      <x:c r="K20" s="19" t="str">
        <x:v>Not required</x:v>
      </x:c>
      <x:c r="L20" s="19" t="str">
        <x:v>PASS</x:v>
      </x:c>
      <x:c r="M20" s="19" t="str">
        <x:v>PASS</x:v>
      </x:c>
      <x:c r="N20" s="19" t="str">
        <x:v>2026-08-21</x:v>
      </x:c>
    </x:row>
    <x:row r="21">
      <x:c r="A21" s="19" t="str">
        <x:v>UNIT-004</x:v>
      </x:c>
      <x:c r="B21" s="19" t="str">
        <x:v>Units &amp; Conversions</x:v>
      </x:c>
      <x:c r="C21" s="19" t="str">
        <x:v>preset rejects base unit and duplicate converted units</x:v>
      </x:c>
      <x:c r="D21" s="19" t="str">
        <x:v>Automated regression: preset rejects base unit and duplicate converted units</x:v>
      </x:c>
      <x:c r="E21" s="19" t="str">
        <x:v>Run php artisan test and inspect the named test.</x:v>
      </x:c>
      <x:c r="F21" s="19" t="str">
        <x:v>The scenario completes with correct database, authorization, financial, or UI behavior.</x:v>
      </x:c>
      <x:c r="G21" s="19" t="str">
        <x:v>Passed in 0.088 seconds.</x:v>
      </x:c>
      <x:c r="H21" s="19" t="str">
        <x:v>PASS</x:v>
      </x:c>
      <x:c r="I21" s="19" t="str">
        <x:v>None</x:v>
      </x:c>
      <x:c r="J21" s="19" t="str">
        <x:v>None</x:v>
      </x:c>
      <x:c r="K21" s="19" t="str">
        <x:v>Not required</x:v>
      </x:c>
      <x:c r="L21" s="19" t="str">
        <x:v>PASS</x:v>
      </x:c>
      <x:c r="M21" s="19" t="str">
        <x:v>PASS</x:v>
      </x:c>
      <x:c r="N21" s="19" t="str">
        <x:v>2026-08-21</x:v>
      </x:c>
    </x:row>
    <x:row r="22">
      <x:c r="A22" s="19" t="str">
        <x:v>UNIT-005</x:v>
      </x:c>
      <x:c r="B22" s="19" t="str">
        <x:v>Units &amp; Conversions</x:v>
      </x:c>
      <x:c r="C22" s="19" t="str">
        <x:v>product save injects base unit and calculates exact conversion rate</x:v>
      </x:c>
      <x:c r="D22" s="19" t="str">
        <x:v>Automated regression: product save injects base unit and calculates exact conversion rate</x:v>
      </x:c>
      <x:c r="E22" s="19" t="str">
        <x:v>Run php artisan test and inspect the named test.</x:v>
      </x:c>
      <x:c r="F22" s="19" t="str">
        <x:v>The scenario completes with correct database, authorization, financial, or UI behavior.</x:v>
      </x:c>
      <x:c r="G22" s="19" t="str">
        <x:v>Passed in 0.098 seconds.</x:v>
      </x:c>
      <x:c r="H22" s="19" t="str">
        <x:v>PASS</x:v>
      </x:c>
      <x:c r="I22" s="19" t="str">
        <x:v>None</x:v>
      </x:c>
      <x:c r="J22" s="19" t="str">
        <x:v>None</x:v>
      </x:c>
      <x:c r="K22" s="19" t="str">
        <x:v>Not required</x:v>
      </x:c>
      <x:c r="L22" s="19" t="str">
        <x:v>PASS</x:v>
      </x:c>
      <x:c r="M22" s="19" t="str">
        <x:v>PASS</x:v>
      </x:c>
      <x:c r="N22" s="19" t="str">
        <x:v>2026-08-21</x:v>
      </x:c>
    </x:row>
    <x:row r="23">
      <x:c r="A23" s="19" t="str">
        <x:v>UNIT-006</x:v>
      </x:c>
      <x:c r="B23" s="19" t="str">
        <x:v>Units &amp; Conversions</x:v>
      </x:c>
      <x:c r="C23" s="19" t="str">
        <x:v>product form contains csp safe deferred base filtered preset loading</x:v>
      </x:c>
      <x:c r="D23" s="19" t="str">
        <x:v>Automated regression: product form contains csp safe deferred base filtered preset loading</x:v>
      </x:c>
      <x:c r="E23" s="19" t="str">
        <x:v>Run php artisan test and inspect the named test.</x:v>
      </x:c>
      <x:c r="F23" s="19" t="str">
        <x:v>The scenario completes with correct database, authorization, financial, or UI behavior.</x:v>
      </x:c>
      <x:c r="G23" s="19" t="str">
        <x:v>Passed in 0.125 seconds.</x:v>
      </x:c>
      <x:c r="H23" s="19" t="str">
        <x:v>FAIL</x:v>
      </x:c>
      <x:c r="I23" s="19" t="str">
        <x:v>Regression reproduced during audit.</x:v>
      </x:c>
      <x:c r="J23" s="19" t="str">
        <x:v>High</x:v>
      </x:c>
      <x:c r="K23" s="19" t="str">
        <x:v>Root cause corrected and an automated regression assertion retained.</x:v>
      </x:c>
      <x:c r="L23" s="19" t="str">
        <x:v>PASS</x:v>
      </x:c>
      <x:c r="M23" s="19" t="str">
        <x:v>FIXED</x:v>
      </x:c>
      <x:c r="N23" s="19" t="str">
        <x:v>2026-08-21</x:v>
      </x:c>
    </x:row>
    <x:row r="24">
      <x:c r="A24" s="19" t="str">
        <x:v>CHQ-001</x:v>
      </x:c>
      <x:c r="B24" s="19" t="str">
        <x:v>Cheques</x:v>
      </x:c>
      <x:c r="C24" s="19" t="str">
        <x:v>cash due pending cheque pass and double pass are consistent</x:v>
      </x:c>
      <x:c r="D24" s="19" t="str">
        <x:v>Automated regression: cash due pending cheque pass and double pass are consistent</x:v>
      </x:c>
      <x:c r="E24" s="19" t="str">
        <x:v>Run php artisan test and inspect the named test.</x:v>
      </x:c>
      <x:c r="F24" s="19" t="str">
        <x:v>The scenario completes with correct database, authorization, financial, or UI behavior.</x:v>
      </x:c>
      <x:c r="G24" s="19" t="str">
        <x:v>Passed in 0.026 seconds.</x:v>
      </x:c>
      <x:c r="H24" s="19" t="str">
        <x:v>PASS</x:v>
      </x:c>
      <x:c r="I24" s="19" t="str">
        <x:v>None</x:v>
      </x:c>
      <x:c r="J24" s="19" t="str">
        <x:v>None</x:v>
      </x:c>
      <x:c r="K24" s="19" t="str">
        <x:v>Not required</x:v>
      </x:c>
      <x:c r="L24" s="19" t="str">
        <x:v>PASS</x:v>
      </x:c>
      <x:c r="M24" s="19" t="str">
        <x:v>PASS</x:v>
      </x:c>
      <x:c r="N24" s="19" t="str">
        <x:v>2026-08-21</x:v>
      </x:c>
    </x:row>
    <x:row r="25">
      <x:c r="A25" s="19" t="str">
        <x:v>CHQ-002</x:v>
      </x:c>
      <x:c r="B25" s="19" t="str">
        <x:v>Cheques</x:v>
      </x:c>
      <x:c r="C25" s="19" t="str">
        <x:v>returned customer cheque restores invoice due without counting as paid</x:v>
      </x:c>
      <x:c r="D25" s="19" t="str">
        <x:v>Automated regression: returned customer cheque restores invoice due without counting as paid</x:v>
      </x:c>
      <x:c r="E25" s="19" t="str">
        <x:v>Run php artisan test and inspect the named test.</x:v>
      </x:c>
      <x:c r="F25" s="19" t="str">
        <x:v>The scenario completes with correct database, authorization, financial, or UI behavior.</x:v>
      </x:c>
      <x:c r="G25" s="19" t="str">
        <x:v>Passed in 0.022 seconds.</x:v>
      </x:c>
      <x:c r="H25" s="19" t="str">
        <x:v>PASS</x:v>
      </x:c>
      <x:c r="I25" s="19" t="str">
        <x:v>None</x:v>
      </x:c>
      <x:c r="J25" s="19" t="str">
        <x:v>None</x:v>
      </x:c>
      <x:c r="K25" s="19" t="str">
        <x:v>Not required</x:v>
      </x:c>
      <x:c r="L25" s="19" t="str">
        <x:v>PASS</x:v>
      </x:c>
      <x:c r="M25" s="19" t="str">
        <x:v>PASS</x:v>
      </x:c>
      <x:c r="N25" s="19" t="str">
        <x:v>2026-08-21</x:v>
      </x:c>
    </x:row>
    <x:row r="26">
      <x:c r="A26" s="19" t="str">
        <x:v>CHQ-003</x:v>
      </x:c>
      <x:c r="B26" s="19" t="str">
        <x:v>Cheques</x:v>
      </x:c>
      <x:c r="C26" s="19" t="str">
        <x:v>endorsed cheque pass clears both parties from one cheque</x:v>
      </x:c>
      <x:c r="D26" s="19" t="str">
        <x:v>Automated regression: endorsed cheque pass clears both parties from one cheque</x:v>
      </x:c>
      <x:c r="E26" s="19" t="str">
        <x:v>Run php artisan test and inspect the named test.</x:v>
      </x:c>
      <x:c r="F26" s="19" t="str">
        <x:v>The scenario completes with correct database, authorization, financial, or UI behavior.</x:v>
      </x:c>
      <x:c r="G26" s="19" t="str">
        <x:v>Passed in 0.030 seconds.</x:v>
      </x:c>
      <x:c r="H26" s="19" t="str">
        <x:v>PASS</x:v>
      </x:c>
      <x:c r="I26" s="19" t="str">
        <x:v>None</x:v>
      </x:c>
      <x:c r="J26" s="19" t="str">
        <x:v>None</x:v>
      </x:c>
      <x:c r="K26" s="19" t="str">
        <x:v>Not required</x:v>
      </x:c>
      <x:c r="L26" s="19" t="str">
        <x:v>PASS</x:v>
      </x:c>
      <x:c r="M26" s="19" t="str">
        <x:v>PASS</x:v>
      </x:c>
      <x:c r="N26" s="19" t="str">
        <x:v>2026-08-21</x:v>
      </x:c>
    </x:row>
    <x:row r="27">
      <x:c r="A27" s="19" t="str">
        <x:v>CHQ-004</x:v>
      </x:c>
      <x:c r="B27" s="19" t="str">
        <x:v>Cheques</x:v>
      </x:c>
      <x:c r="C27" s="19" t="str">
        <x:v>endorsed and own cheque returns restore only the correct dues</x:v>
      </x:c>
      <x:c r="D27" s="19" t="str">
        <x:v>Automated regression: endorsed and own cheque returns restore only the correct dues</x:v>
      </x:c>
      <x:c r="E27" s="19" t="str">
        <x:v>Run php artisan test and inspect the named test.</x:v>
      </x:c>
      <x:c r="F27" s="19" t="str">
        <x:v>The scenario completes with correct database, authorization, financial, or UI behavior.</x:v>
      </x:c>
      <x:c r="G27" s="19" t="str">
        <x:v>Passed in 0.036 seconds.</x:v>
      </x:c>
      <x:c r="H27" s="19" t="str">
        <x:v>PASS</x:v>
      </x:c>
      <x:c r="I27" s="19" t="str">
        <x:v>None</x:v>
      </x:c>
      <x:c r="J27" s="19" t="str">
        <x:v>None</x:v>
      </x:c>
      <x:c r="K27" s="19" t="str">
        <x:v>Not required</x:v>
      </x:c>
      <x:c r="L27" s="19" t="str">
        <x:v>PASS</x:v>
      </x:c>
      <x:c r="M27" s="19" t="str">
        <x:v>PASS</x:v>
      </x:c>
      <x:c r="N27" s="19" t="str">
        <x:v>2026-08-21</x:v>
      </x:c>
    </x:row>
    <x:row r="28">
      <x:c r="A28" s="19" t="str">
        <x:v>PUR-001</x:v>
      </x:c>
      <x:c r="B28" s="19" t="str">
        <x:v>Purchases</x:v>
      </x:c>
      <x:c r="C28" s="19" t="str">
        <x:v>sales and purchase returns reverse stock and ledgers</x:v>
      </x:c>
      <x:c r="D28" s="19" t="str">
        <x:v>Automated regression: sales and purchase returns reverse stock and ledgers</x:v>
      </x:c>
      <x:c r="E28" s="19" t="str">
        <x:v>Run php artisan test and inspect the named test.</x:v>
      </x:c>
      <x:c r="F28" s="19" t="str">
        <x:v>The scenario completes with correct database, authorization, financial, or UI behavior.</x:v>
      </x:c>
      <x:c r="G28" s="19" t="str">
        <x:v>Passed in 0.026 seconds.</x:v>
      </x:c>
      <x:c r="H28" s="19" t="str">
        <x:v>PASS</x:v>
      </x:c>
      <x:c r="I28" s="19" t="str">
        <x:v>None</x:v>
      </x:c>
      <x:c r="J28" s="19" t="str">
        <x:v>None</x:v>
      </x:c>
      <x:c r="K28" s="19" t="str">
        <x:v>Not required</x:v>
      </x:c>
      <x:c r="L28" s="19" t="str">
        <x:v>PASS</x:v>
      </x:c>
      <x:c r="M28" s="19" t="str">
        <x:v>PASS</x:v>
      </x:c>
      <x:c r="N28" s="19" t="str">
        <x:v>2026-08-21</x:v>
      </x:c>
    </x:row>
    <x:row r="29">
      <x:c r="A29" s="19" t="str">
        <x:v>STK-003</x:v>
      </x:c>
      <x:c r="B29" s="19" t="str">
        <x:v>Inventory</x:v>
      </x:c>
      <x:c r="C29" s="19" t="str">
        <x:v>stock transfer preserves combined quantity</x:v>
      </x:c>
      <x:c r="D29" s="19" t="str">
        <x:v>Automated regression: stock transfer preserves combined quantity</x:v>
      </x:c>
      <x:c r="E29" s="19" t="str">
        <x:v>Run php artisan test and inspect the named test.</x:v>
      </x:c>
      <x:c r="F29" s="19" t="str">
        <x:v>The scenario completes with correct database, authorization, financial, or UI behavior.</x:v>
      </x:c>
      <x:c r="G29" s="19" t="str">
        <x:v>Passed in 0.014 seconds.</x:v>
      </x:c>
      <x:c r="H29" s="19" t="str">
        <x:v>PASS</x:v>
      </x:c>
      <x:c r="I29" s="19" t="str">
        <x:v>None</x:v>
      </x:c>
      <x:c r="J29" s="19" t="str">
        <x:v>None</x:v>
      </x:c>
      <x:c r="K29" s="19" t="str">
        <x:v>Not required</x:v>
      </x:c>
      <x:c r="L29" s="19" t="str">
        <x:v>PASS</x:v>
      </x:c>
      <x:c r="M29" s="19" t="str">
        <x:v>PASS</x:v>
      </x:c>
      <x:c r="N29" s="19" t="str">
        <x:v>2026-08-21</x:v>
      </x:c>
    </x:row>
    <x:row r="30">
      <x:c r="A30" s="19" t="str">
        <x:v>CHQ-005</x:v>
      </x:c>
      <x:c r="B30" s="19" t="str">
        <x:v>Cheques</x:v>
      </x:c>
      <x:c r="C30" s="19" t="str">
        <x:v>return during pending cheque restores only net invoice due</x:v>
      </x:c>
      <x:c r="D30" s="19" t="str">
        <x:v>Automated regression: return during pending cheque restores only net invoice due</x:v>
      </x:c>
      <x:c r="E30" s="19" t="str">
        <x:v>Run php artisan test and inspect the named test.</x:v>
      </x:c>
      <x:c r="F30" s="19" t="str">
        <x:v>The scenario completes with correct database, authorization, financial, or UI behavior.</x:v>
      </x:c>
      <x:c r="G30" s="19" t="str">
        <x:v>Passed in 0.030 seconds.</x:v>
      </x:c>
      <x:c r="H30" s="19" t="str">
        <x:v>PASS</x:v>
      </x:c>
      <x:c r="I30" s="19" t="str">
        <x:v>None</x:v>
      </x:c>
      <x:c r="J30" s="19" t="str">
        <x:v>None</x:v>
      </x:c>
      <x:c r="K30" s="19" t="str">
        <x:v>Not required</x:v>
      </x:c>
      <x:c r="L30" s="19" t="str">
        <x:v>PASS</x:v>
      </x:c>
      <x:c r="M30" s="19" t="str">
        <x:v>PASS</x:v>
      </x:c>
      <x:c r="N30" s="19" t="str">
        <x:v>2026-08-21</x:v>
      </x:c>
    </x:row>
    <x:row r="31">
      <x:c r="A31" s="19" t="str">
        <x:v>PROD-001</x:v>
      </x:c>
      <x:c r="B31" s="19" t="str">
        <x:v>Products</x:v>
      </x:c>
      <x:c r="C31" s="19" t="str">
        <x:v>product list has explicit view edit and delete actions</x:v>
      </x:c>
      <x:c r="D31" s="19" t="str">
        <x:v>Automated regression: product list has explicit view edit and delete actions</x:v>
      </x:c>
      <x:c r="E31" s="19" t="str">
        <x:v>Run php artisan test and inspect the named test.</x:v>
      </x:c>
      <x:c r="F31" s="19" t="str">
        <x:v>The scenario completes with correct database, authorization, financial, or UI behavior.</x:v>
      </x:c>
      <x:c r="G31" s="19" t="str">
        <x:v>Passed in 0.115 seconds.</x:v>
      </x:c>
      <x:c r="H31" s="19" t="str">
        <x:v>FAIL</x:v>
      </x:c>
      <x:c r="I31" s="19" t="str">
        <x:v>Regression reproduced during audit.</x:v>
      </x:c>
      <x:c r="J31" s="19" t="str">
        <x:v>High</x:v>
      </x:c>
      <x:c r="K31" s="19" t="str">
        <x:v>Root cause corrected and an automated regression assertion retained.</x:v>
      </x:c>
      <x:c r="L31" s="19" t="str">
        <x:v>PASS</x:v>
      </x:c>
      <x:c r="M31" s="19" t="str">
        <x:v>FIXED</x:v>
      </x:c>
      <x:c r="N31" s="19" t="str">
        <x:v>2026-08-21</x:v>
      </x:c>
    </x:row>
    <x:row r="32">
      <x:c r="A32" s="19" t="str">
        <x:v>STK-004</x:v>
      </x:c>
      <x:c r="B32" s="19" t="str">
        <x:v>Inventory</x:v>
      </x:c>
      <x:c r="C32" s="19" t="str">
        <x:v>product details show stock in and out ledger</x:v>
      </x:c>
      <x:c r="D32" s="19" t="str">
        <x:v>Automated regression: product details show stock in and out ledger</x:v>
      </x:c>
      <x:c r="E32" s="19" t="str">
        <x:v>Run php artisan test and inspect the named test.</x:v>
      </x:c>
      <x:c r="F32" s="19" t="str">
        <x:v>The scenario completes with correct database, authorization, financial, or UI behavior.</x:v>
      </x:c>
      <x:c r="G32" s="19" t="str">
        <x:v>Passed in 0.116 seconds.</x:v>
      </x:c>
      <x:c r="H32" s="19" t="str">
        <x:v>FAIL</x:v>
      </x:c>
      <x:c r="I32" s="19" t="str">
        <x:v>Regression reproduced during audit.</x:v>
      </x:c>
      <x:c r="J32" s="19" t="str">
        <x:v>High</x:v>
      </x:c>
      <x:c r="K32" s="19" t="str">
        <x:v>Root cause corrected and an automated regression assertion retained.</x:v>
      </x:c>
      <x:c r="L32" s="19" t="str">
        <x:v>PASS</x:v>
      </x:c>
      <x:c r="M32" s="19" t="str">
        <x:v>FIXED</x:v>
      </x:c>
      <x:c r="N32" s="19" t="str">
        <x:v>2026-08-21</x:v>
      </x:c>
    </x:row>
    <x:row r="33">
      <x:c r="A33" s="19" t="str">
        <x:v>PROD-002</x:v>
      </x:c>
      <x:c r="B33" s="19" t="str">
        <x:v>Products</x:v>
      </x:c>
      <x:c r="C33" s="19" t="str">
        <x:v>unused product can be deleted</x:v>
      </x:c>
      <x:c r="D33" s="19" t="str">
        <x:v>Automated regression: unused product can be deleted</x:v>
      </x:c>
      <x:c r="E33" s="19" t="str">
        <x:v>Run php artisan test and inspect the named test.</x:v>
      </x:c>
      <x:c r="F33" s="19" t="str">
        <x:v>The scenario completes with correct database, authorization, financial, or UI behavior.</x:v>
      </x:c>
      <x:c r="G33" s="19" t="str">
        <x:v>Passed in 0.095 seconds.</x:v>
      </x:c>
      <x:c r="H33" s="19" t="str">
        <x:v>PASS</x:v>
      </x:c>
      <x:c r="I33" s="19" t="str">
        <x:v>None</x:v>
      </x:c>
      <x:c r="J33" s="19" t="str">
        <x:v>None</x:v>
      </x:c>
      <x:c r="K33" s="19" t="str">
        <x:v>Not required</x:v>
      </x:c>
      <x:c r="L33" s="19" t="str">
        <x:v>PASS</x:v>
      </x:c>
      <x:c r="M33" s="19" t="str">
        <x:v>PASS</x:v>
      </x:c>
      <x:c r="N33" s="19" t="str">
        <x:v>2026-08-21</x:v>
      </x:c>
    </x:row>
    <x:row r="34">
      <x:c r="A34" s="19" t="str">
        <x:v>STK-005</x:v>
      </x:c>
      <x:c r="B34" s="19" t="str">
        <x:v>Inventory</x:v>
      </x:c>
      <x:c r="C34" s="19" t="str">
        <x:v>product with inventory history is protected from deletion</x:v>
      </x:c>
      <x:c r="D34" s="19" t="str">
        <x:v>Automated regression: product with inventory history is protected from deletion</x:v>
      </x:c>
      <x:c r="E34" s="19" t="str">
        <x:v>Run php artisan test and inspect the named test.</x:v>
      </x:c>
      <x:c r="F34" s="19" t="str">
        <x:v>The scenario completes with correct database, authorization, financial, or UI behavior.</x:v>
      </x:c>
      <x:c r="G34" s="19" t="str">
        <x:v>Passed in 0.096 seconds.</x:v>
      </x:c>
      <x:c r="H34" s="19" t="str">
        <x:v>PASS</x:v>
      </x:c>
      <x:c r="I34" s="19" t="str">
        <x:v>None</x:v>
      </x:c>
      <x:c r="J34" s="19" t="str">
        <x:v>None</x:v>
      </x:c>
      <x:c r="K34" s="19" t="str">
        <x:v>Not required</x:v>
      </x:c>
      <x:c r="L34" s="19" t="str">
        <x:v>PASS</x:v>
      </x:c>
      <x:c r="M34" s="19" t="str">
        <x:v>PASS</x:v>
      </x:c>
      <x:c r="N34" s="19" t="str">
        <x:v>2026-08-21</x:v>
      </x:c>
    </x:row>
    <x:row r="35">
      <x:c r="A35" s="19" t="str">
        <x:v>PROD-003</x:v>
      </x:c>
      <x:c r="B35" s="19" t="str">
        <x:v>Products</x:v>
      </x:c>
      <x:c r="C35" s="19" t="str">
        <x:v>product barcode is trimmed and must be unique</x:v>
      </x:c>
      <x:c r="D35" s="19" t="str">
        <x:v>Automated regression: product barcode is trimmed and must be unique</x:v>
      </x:c>
      <x:c r="E35" s="19" t="str">
        <x:v>Run php artisan test and inspect the named test.</x:v>
      </x:c>
      <x:c r="F35" s="19" t="str">
        <x:v>The scenario completes with correct database, authorization, financial, or UI behavior.</x:v>
      </x:c>
      <x:c r="G35" s="19" t="str">
        <x:v>Passed in 0.098 seconds.</x:v>
      </x:c>
      <x:c r="H35" s="19" t="str">
        <x:v>PASS</x:v>
      </x:c>
      <x:c r="I35" s="19" t="str">
        <x:v>None</x:v>
      </x:c>
      <x:c r="J35" s="19" t="str">
        <x:v>None</x:v>
      </x:c>
      <x:c r="K35" s="19" t="str">
        <x:v>Not required</x:v>
      </x:c>
      <x:c r="L35" s="19" t="str">
        <x:v>PASS</x:v>
      </x:c>
      <x:c r="M35" s="19" t="str">
        <x:v>PASS</x:v>
      </x:c>
      <x:c r="N35" s="19" t="str">
        <x:v>2026-08-21</x:v>
      </x:c>
    </x:row>
    <x:row r="36">
      <x:c r="A36" s="19" t="str">
        <x:v>PROD-004</x:v>
      </x:c>
      <x:c r="B36" s="19" t="str">
        <x:v>Products</x:v>
      </x:c>
      <x:c r="C36" s="19" t="str">
        <x:v>barcode cannot duplicate another product sku</x:v>
      </x:c>
      <x:c r="D36" s="19" t="str">
        <x:v>Automated regression: barcode cannot duplicate another product sku</x:v>
      </x:c>
      <x:c r="E36" s="19" t="str">
        <x:v>Run php artisan test and inspect the named test.</x:v>
      </x:c>
      <x:c r="F36" s="19" t="str">
        <x:v>The scenario completes with correct database, authorization, financial, or UI behavior.</x:v>
      </x:c>
      <x:c r="G36" s="19" t="str">
        <x:v>Passed in 0.098 seconds.</x:v>
      </x:c>
      <x:c r="H36" s="19" t="str">
        <x:v>PASS</x:v>
      </x:c>
      <x:c r="I36" s="19" t="str">
        <x:v>None</x:v>
      </x:c>
      <x:c r="J36" s="19" t="str">
        <x:v>None</x:v>
      </x:c>
      <x:c r="K36" s="19" t="str">
        <x:v>Not required</x:v>
      </x:c>
      <x:c r="L36" s="19" t="str">
        <x:v>PASS</x:v>
      </x:c>
      <x:c r="M36" s="19" t="str">
        <x:v>PASS</x:v>
      </x:c>
      <x:c r="N36" s="19" t="str">
        <x:v>2026-08-21</x:v>
      </x:c>
    </x:row>
    <x:row r="37">
      <x:c r="A37" s="19" t="str">
        <x:v>PROD-005</x:v>
      </x:c>
      <x:c r="B37" s="19" t="str">
        <x:v>Products</x:v>
      </x:c>
      <x:c r="C37" s="19" t="str">
        <x:v>pos search only auto adds unambiguous matches</x:v>
      </x:c>
      <x:c r="D37" s="19" t="str">
        <x:v>Automated regression: pos search only auto adds unambiguous matches</x:v>
      </x:c>
      <x:c r="E37" s="19" t="str">
        <x:v>Run php artisan test and inspect the named test.</x:v>
      </x:c>
      <x:c r="F37" s="19" t="str">
        <x:v>The scenario completes with correct database, authorization, financial, or UI behavior.</x:v>
      </x:c>
      <x:c r="G37" s="19" t="str">
        <x:v>Passed in 0.102 seconds.</x:v>
      </x:c>
      <x:c r="H37" s="19" t="str">
        <x:v>FAIL</x:v>
      </x:c>
      <x:c r="I37" s="19" t="str">
        <x:v>Regression reproduced during audit.</x:v>
      </x:c>
      <x:c r="J37" s="19" t="str">
        <x:v>High</x:v>
      </x:c>
      <x:c r="K37" s="19" t="str">
        <x:v>Root cause corrected and an automated regression assertion retained.</x:v>
      </x:c>
      <x:c r="L37" s="19" t="str">
        <x:v>PASS</x:v>
      </x:c>
      <x:c r="M37" s="19" t="str">
        <x:v>FIXED</x:v>
      </x:c>
      <x:c r="N37" s="19" t="str">
        <x:v>2026-08-21</x:v>
      </x:c>
    </x:row>
    <x:row r="38">
      <x:c r="A38" s="19" t="str">
        <x:v>UI-001</x:v>
      </x:c>
      <x:c r="B38" s="19" t="str">
        <x:v>UI / Screens</x:v>
      </x:c>
      <x:c r="C38" s="19" t="str">
        <x:v>all primary staff screens render</x:v>
      </x:c>
      <x:c r="D38" s="19" t="str">
        <x:v>Automated regression: all primary staff screens render</x:v>
      </x:c>
      <x:c r="E38" s="19" t="str">
        <x:v>Run php artisan test and inspect the named test.</x:v>
      </x:c>
      <x:c r="F38" s="19" t="str">
        <x:v>The scenario completes with correct database, authorization, financial, or UI behavior.</x:v>
      </x:c>
      <x:c r="G38" s="19" t="str">
        <x:v>Passed in 0.694 seconds.</x:v>
      </x:c>
      <x:c r="H38" s="19" t="str">
        <x:v>FAIL</x:v>
      </x:c>
      <x:c r="I38" s="19" t="str">
        <x:v>Regression reproduced during audit.</x:v>
      </x:c>
      <x:c r="J38" s="19" t="str">
        <x:v>High</x:v>
      </x:c>
      <x:c r="K38" s="19" t="str">
        <x:v>Root cause corrected and an automated regression assertion retained.</x:v>
      </x:c>
      <x:c r="L38" s="19" t="str">
        <x:v>PASS</x:v>
      </x:c>
      <x:c r="M38" s="19" t="str">
        <x:v>FIXED</x:v>
      </x:c>
      <x:c r="N38" s="19" t="str">
        <x:v>2026-08-21</x:v>
      </x:c>
    </x:row>
    <x:row r="39">
      <x:c r="A39" s="19" t="str">
        <x:v>POS-001</x:v>
      </x:c>
      <x:c r="B39" s="19" t="str">
        <x:v>POS &amp; Sales</x:v>
      </x:c>
      <x:c r="C39" s="19" t="str">
        <x:v>powered by footer is visible on login admin and pos layouts</x:v>
      </x:c>
      <x:c r="D39" s="19" t="str">
        <x:v>Automated regression: powered by footer is visible on login admin and pos layouts</x:v>
      </x:c>
      <x:c r="E39" s="19" t="str">
        <x:v>Run php artisan test and inspect the named test.</x:v>
      </x:c>
      <x:c r="F39" s="19" t="str">
        <x:v>The scenario completes with correct database, authorization, financial, or UI behavior.</x:v>
      </x:c>
      <x:c r="G39" s="19" t="str">
        <x:v>Passed in 0.100 seconds.</x:v>
      </x:c>
      <x:c r="H39" s="19" t="str">
        <x:v>PASS</x:v>
      </x:c>
      <x:c r="I39" s="19" t="str">
        <x:v>None</x:v>
      </x:c>
      <x:c r="J39" s="19" t="str">
        <x:v>None</x:v>
      </x:c>
      <x:c r="K39" s="19" t="str">
        <x:v>Not required</x:v>
      </x:c>
      <x:c r="L39" s="19" t="str">
        <x:v>PASS</x:v>
      </x:c>
      <x:c r="M39" s="19" t="str">
        <x:v>PASS</x:v>
      </x:c>
      <x:c r="N39" s="19" t="str">
        <x:v>2026-08-21</x:v>
      </x:c>
    </x:row>
    <x:row r="40">
      <x:c r="A40" s="19" t="str">
        <x:v>UI-001</x:v>
      </x:c>
      <x:c r="B40" s="19" t="str">
        <x:v>Screen Smoke</x:v>
      </x:c>
      <x:c r="C40" s="19" t="str">
        <x:v>Dashboard</x:v>
      </x:c>
      <x:c r="D40" s="19" t="str">
        <x:v>Open / as an authorized administrator.</x:v>
      </x:c>
      <x:c r="E40" s="19" t="str">
        <x:v>Authenticate; request /; verify HTTP response and rendered Blade output.</x:v>
      </x:c>
      <x:c r="F40" s="19" t="str">
        <x:v>HTTP 200 and usable page output.</x:v>
      </x:c>
      <x:c r="G40" s="19" t="str">
        <x:v>HTTP 200; rendered successfully in the complete screen smoke test.</x:v>
      </x:c>
      <x:c r="H40" s="19" t="str">
        <x:v>PASS</x:v>
      </x:c>
      <x:c r="I40" s="19" t="str">
        <x:v>None</x:v>
      </x:c>
      <x:c r="J40" s="19" t="str">
        <x:v>None</x:v>
      </x:c>
      <x:c r="K40" s="19" t="str">
        <x:v>Not required</x:v>
      </x:c>
      <x:c r="L40" s="19" t="str">
        <x:v>PASS</x:v>
      </x:c>
      <x:c r="M40" s="19" t="str">
        <x:v>PASS</x:v>
      </x:c>
      <x:c r="N40" s="19" t="str">
        <x:v>2026-08-21</x:v>
      </x:c>
    </x:row>
    <x:row r="41">
      <x:c r="A41" s="19" t="str">
        <x:v>UI-002</x:v>
      </x:c>
      <x:c r="B41" s="19" t="str">
        <x:v>Screen Smoke</x:v>
      </x:c>
      <x:c r="C41" s="19" t="str">
        <x:v>Main POS</x:v>
      </x:c>
      <x:c r="D41" s="19" t="str">
        <x:v>Open /pos/main as an authorized administrator.</x:v>
      </x:c>
      <x:c r="E41" s="19" t="str">
        <x:v>Authenticate; request /pos/main; verify HTTP response and rendered Blade output.</x:v>
      </x:c>
      <x:c r="F41" s="19" t="str">
        <x:v>HTTP 200 and usable page output.</x:v>
      </x:c>
      <x:c r="G41" s="19" t="str">
        <x:v>HTTP 200; rendered successfully in the complete screen smoke test.</x:v>
      </x:c>
      <x:c r="H41" s="19" t="str">
        <x:v>PASS</x:v>
      </x:c>
      <x:c r="I41" s="19" t="str">
        <x:v>None</x:v>
      </x:c>
      <x:c r="J41" s="19" t="str">
        <x:v>None</x:v>
      </x:c>
      <x:c r="K41" s="19" t="str">
        <x:v>Not required</x:v>
      </x:c>
      <x:c r="L41" s="19" t="str">
        <x:v>PASS</x:v>
      </x:c>
      <x:c r="M41" s="19" t="str">
        <x:v>PASS</x:v>
      </x:c>
      <x:c r="N41" s="19" t="str">
        <x:v>2026-08-21</x:v>
      </x:c>
    </x:row>
    <x:row r="42">
      <x:c r="A42" s="19" t="str">
        <x:v>UI-003</x:v>
      </x:c>
      <x:c r="B42" s="19" t="str">
        <x:v>Screen Smoke</x:v>
      </x:c>
      <x:c r="C42" s="19" t="str">
        <x:v>Remnant POS</x:v>
      </x:c>
      <x:c r="D42" s="19" t="str">
        <x:v>Open /pos/remnant as an authorized administrator.</x:v>
      </x:c>
      <x:c r="E42" s="19" t="str">
        <x:v>Authenticate; request /pos/remnant; verify HTTP response and rendered Blade output.</x:v>
      </x:c>
      <x:c r="F42" s="19" t="str">
        <x:v>HTTP 200 and usable page output.</x:v>
      </x:c>
      <x:c r="G42" s="19" t="str">
        <x:v>HTTP 200; rendered successfully in the complete screen smoke test.</x:v>
      </x:c>
      <x:c r="H42" s="19" t="str">
        <x:v>PASS</x:v>
      </x:c>
      <x:c r="I42" s="19" t="str">
        <x:v>None</x:v>
      </x:c>
      <x:c r="J42" s="19" t="str">
        <x:v>None</x:v>
      </x:c>
      <x:c r="K42" s="19" t="str">
        <x:v>Not required</x:v>
      </x:c>
      <x:c r="L42" s="19" t="str">
        <x:v>PASS</x:v>
      </x:c>
      <x:c r="M42" s="19" t="str">
        <x:v>PASS</x:v>
      </x:c>
      <x:c r="N42" s="19" t="str">
        <x:v>2026-08-21</x:v>
      </x:c>
    </x:row>
    <x:row r="43">
      <x:c r="A43" s="19" t="str">
        <x:v>UI-004</x:v>
      </x:c>
      <x:c r="B43" s="19" t="str">
        <x:v>Screen Smoke</x:v>
      </x:c>
      <x:c r="C43" s="19" t="str">
        <x:v>Products</x:v>
      </x:c>
      <x:c r="D43" s="19" t="str">
        <x:v>Open /products as an authorized administrator.</x:v>
      </x:c>
      <x:c r="E43" s="19" t="str">
        <x:v>Authenticate; request /products; verify HTTP response and rendered Blade output.</x:v>
      </x:c>
      <x:c r="F43" s="19" t="str">
        <x:v>HTTP 200 and usable page output.</x:v>
      </x:c>
      <x:c r="G43" s="19" t="str">
        <x:v>HTTP 200; rendered successfully in the complete screen smoke test.</x:v>
      </x:c>
      <x:c r="H43" s="19" t="str">
        <x:v>PASS</x:v>
      </x:c>
      <x:c r="I43" s="19" t="str">
        <x:v>None</x:v>
      </x:c>
      <x:c r="J43" s="19" t="str">
        <x:v>None</x:v>
      </x:c>
      <x:c r="K43" s="19" t="str">
        <x:v>Not required</x:v>
      </x:c>
      <x:c r="L43" s="19" t="str">
        <x:v>PASS</x:v>
      </x:c>
      <x:c r="M43" s="19" t="str">
        <x:v>PASS</x:v>
      </x:c>
      <x:c r="N43" s="19" t="str">
        <x:v>2026-08-21</x:v>
      </x:c>
    </x:row>
    <x:row r="44">
      <x:c r="A44" s="19" t="str">
        <x:v>UI-005</x:v>
      </x:c>
      <x:c r="B44" s="19" t="str">
        <x:v>Screen Smoke</x:v>
      </x:c>
      <x:c r="C44" s="19" t="str">
        <x:v>Create Product</x:v>
      </x:c>
      <x:c r="D44" s="19" t="str">
        <x:v>Open /products/create as an authorized administrator.</x:v>
      </x:c>
      <x:c r="E44" s="19" t="str">
        <x:v>Authenticate; request /products/create; verify HTTP response and rendered Blade output.</x:v>
      </x:c>
      <x:c r="F44" s="19" t="str">
        <x:v>HTTP 200 and usable page output.</x:v>
      </x:c>
      <x:c r="G44" s="19" t="str">
        <x:v>HTTP 200; rendered successfully in the complete screen smoke test.</x:v>
      </x:c>
      <x:c r="H44" s="19" t="str">
        <x:v>PASS</x:v>
      </x:c>
      <x:c r="I44" s="19" t="str">
        <x:v>None</x:v>
      </x:c>
      <x:c r="J44" s="19" t="str">
        <x:v>None</x:v>
      </x:c>
      <x:c r="K44" s="19" t="str">
        <x:v>Not required</x:v>
      </x:c>
      <x:c r="L44" s="19" t="str">
        <x:v>PASS</x:v>
      </x:c>
      <x:c r="M44" s="19" t="str">
        <x:v>PASS</x:v>
      </x:c>
      <x:c r="N44" s="19" t="str">
        <x:v>2026-08-21</x:v>
      </x:c>
    </x:row>
    <x:row r="45">
      <x:c r="A45" s="19" t="str">
        <x:v>UI-006</x:v>
      </x:c>
      <x:c r="B45" s="19" t="str">
        <x:v>Screen Smoke</x:v>
      </x:c>
      <x:c r="C45" s="19" t="str">
        <x:v>Main Inventory</x:v>
      </x:c>
      <x:c r="D45" s="19" t="str">
        <x:v>Open /inventory as an authorized administrator.</x:v>
      </x:c>
      <x:c r="E45" s="19" t="str">
        <x:v>Authenticate; request /inventory; verify HTTP response and rendered Blade output.</x:v>
      </x:c>
      <x:c r="F45" s="19" t="str">
        <x:v>HTTP 200 and usable page output.</x:v>
      </x:c>
      <x:c r="G45" s="19" t="str">
        <x:v>HTTP 200; rendered successfully in the complete screen smoke test.</x:v>
      </x:c>
      <x:c r="H45" s="19" t="str">
        <x:v>PASS</x:v>
      </x:c>
      <x:c r="I45" s="19" t="str">
        <x:v>None</x:v>
      </x:c>
      <x:c r="J45" s="19" t="str">
        <x:v>None</x:v>
      </x:c>
      <x:c r="K45" s="19" t="str">
        <x:v>Not required</x:v>
      </x:c>
      <x:c r="L45" s="19" t="str">
        <x:v>PASS</x:v>
      </x:c>
      <x:c r="M45" s="19" t="str">
        <x:v>PASS</x:v>
      </x:c>
      <x:c r="N45" s="19" t="str">
        <x:v>2026-08-21</x:v>
      </x:c>
    </x:row>
    <x:row r="46">
      <x:c r="A46" s="19" t="str">
        <x:v>UI-007</x:v>
      </x:c>
      <x:c r="B46" s="19" t="str">
        <x:v>Screen Smoke</x:v>
      </x:c>
      <x:c r="C46" s="19" t="str">
        <x:v>Stock Movements</x:v>
      </x:c>
      <x:c r="D46" s="19" t="str">
        <x:v>Open /inventory/movements as an authorized administrator.</x:v>
      </x:c>
      <x:c r="E46" s="19" t="str">
        <x:v>Authenticate; request /inventory/movements; verify HTTP response and rendered Blade output.</x:v>
      </x:c>
      <x:c r="F46" s="19" t="str">
        <x:v>HTTP 200 and usable page output.</x:v>
      </x:c>
      <x:c r="G46" s="19" t="str">
        <x:v>HTTP 200; rendered successfully in the complete screen smoke test.</x:v>
      </x:c>
      <x:c r="H46" s="19" t="str">
        <x:v>PASS</x:v>
      </x:c>
      <x:c r="I46" s="19" t="str">
        <x:v>None</x:v>
      </x:c>
      <x:c r="J46" s="19" t="str">
        <x:v>None</x:v>
      </x:c>
      <x:c r="K46" s="19" t="str">
        <x:v>Not required</x:v>
      </x:c>
      <x:c r="L46" s="19" t="str">
        <x:v>PASS</x:v>
      </x:c>
      <x:c r="M46" s="19" t="str">
        <x:v>PASS</x:v>
      </x:c>
      <x:c r="N46" s="19" t="str">
        <x:v>2026-08-21</x:v>
      </x:c>
    </x:row>
    <x:row r="47">
      <x:c r="A47" s="19" t="str">
        <x:v>UI-008</x:v>
      </x:c>
      <x:c r="B47" s="19" t="str">
        <x:v>Screen Smoke</x:v>
      </x:c>
      <x:c r="C47" s="19" t="str">
        <x:v>Categories</x:v>
      </x:c>
      <x:c r="D47" s="19" t="str">
        <x:v>Open /categories as an authorized administrator.</x:v>
      </x:c>
      <x:c r="E47" s="19" t="str">
        <x:v>Authenticate; request /categories; verify HTTP response and rendered Blade output.</x:v>
      </x:c>
      <x:c r="F47" s="19" t="str">
        <x:v>HTTP 200 and usable page output.</x:v>
      </x:c>
      <x:c r="G47" s="19" t="str">
        <x:v>HTTP 200; rendered successfully in the complete screen smoke test.</x:v>
      </x:c>
      <x:c r="H47" s="19" t="str">
        <x:v>PASS</x:v>
      </x:c>
      <x:c r="I47" s="19" t="str">
        <x:v>None</x:v>
      </x:c>
      <x:c r="J47" s="19" t="str">
        <x:v>None</x:v>
      </x:c>
      <x:c r="K47" s="19" t="str">
        <x:v>Not required</x:v>
      </x:c>
      <x:c r="L47" s="19" t="str">
        <x:v>PASS</x:v>
      </x:c>
      <x:c r="M47" s="19" t="str">
        <x:v>PASS</x:v>
      </x:c>
      <x:c r="N47" s="19" t="str">
        <x:v>2026-08-21</x:v>
      </x:c>
    </x:row>
    <x:row r="48">
      <x:c r="A48" s="19" t="str">
        <x:v>UI-009</x:v>
      </x:c>
      <x:c r="B48" s="19" t="str">
        <x:v>Screen Smoke</x:v>
      </x:c>
      <x:c r="C48" s="19" t="str">
        <x:v>Units</x:v>
      </x:c>
      <x:c r="D48" s="19" t="str">
        <x:v>Open /units as an authorized administrator.</x:v>
      </x:c>
      <x:c r="E48" s="19" t="str">
        <x:v>Authenticate; request /units; verify HTTP response and rendered Blade output.</x:v>
      </x:c>
      <x:c r="F48" s="19" t="str">
        <x:v>HTTP 200 and usable page output.</x:v>
      </x:c>
      <x:c r="G48" s="19" t="str">
        <x:v>HTTP 200; rendered successfully in the complete screen smoke test.</x:v>
      </x:c>
      <x:c r="H48" s="19" t="str">
        <x:v>PASS</x:v>
      </x:c>
      <x:c r="I48" s="19" t="str">
        <x:v>None</x:v>
      </x:c>
      <x:c r="J48" s="19" t="str">
        <x:v>None</x:v>
      </x:c>
      <x:c r="K48" s="19" t="str">
        <x:v>Not required</x:v>
      </x:c>
      <x:c r="L48" s="19" t="str">
        <x:v>PASS</x:v>
      </x:c>
      <x:c r="M48" s="19" t="str">
        <x:v>PASS</x:v>
      </x:c>
      <x:c r="N48" s="19" t="str">
        <x:v>2026-08-21</x:v>
      </x:c>
    </x:row>
    <x:row r="49">
      <x:c r="A49" s="19" t="str">
        <x:v>UI-010</x:v>
      </x:c>
      <x:c r="B49" s="19" t="str">
        <x:v>Screen Smoke</x:v>
      </x:c>
      <x:c r="C49" s="19" t="str">
        <x:v>Brands</x:v>
      </x:c>
      <x:c r="D49" s="19" t="str">
        <x:v>Open /brands as an authorized administrator.</x:v>
      </x:c>
      <x:c r="E49" s="19" t="str">
        <x:v>Authenticate; request /brands; verify HTTP response and rendered Blade output.</x:v>
      </x:c>
      <x:c r="F49" s="19" t="str">
        <x:v>HTTP 200 and usable page output.</x:v>
      </x:c>
      <x:c r="G49" s="19" t="str">
        <x:v>HTTP 200; rendered successfully in the complete screen smoke test.</x:v>
      </x:c>
      <x:c r="H49" s="19" t="str">
        <x:v>PASS</x:v>
      </x:c>
      <x:c r="I49" s="19" t="str">
        <x:v>None</x:v>
      </x:c>
      <x:c r="J49" s="19" t="str">
        <x:v>None</x:v>
      </x:c>
      <x:c r="K49" s="19" t="str">
        <x:v>Not required</x:v>
      </x:c>
      <x:c r="L49" s="19" t="str">
        <x:v>PASS</x:v>
      </x:c>
      <x:c r="M49" s="19" t="str">
        <x:v>PASS</x:v>
      </x:c>
      <x:c r="N49" s="19" t="str">
        <x:v>2026-08-21</x:v>
      </x:c>
    </x:row>
    <x:row r="50">
      <x:c r="A50" s="19" t="str">
        <x:v>UI-011</x:v>
      </x:c>
      <x:c r="B50" s="19" t="str">
        <x:v>Screen Smoke</x:v>
      </x:c>
      <x:c r="C50" s="19" t="str">
        <x:v>Multiple Units</x:v>
      </x:c>
      <x:c r="D50" s="19" t="str">
        <x:v>Open /unit-presets as an authorized administrator.</x:v>
      </x:c>
      <x:c r="E50" s="19" t="str">
        <x:v>Authenticate; request /unit-presets; verify HTTP response and rendered Blade output.</x:v>
      </x:c>
      <x:c r="F50" s="19" t="str">
        <x:v>HTTP 200 and usable page output.</x:v>
      </x:c>
      <x:c r="G50" s="19" t="str">
        <x:v>HTTP 200; rendered successfully in the complete screen smoke test.</x:v>
      </x:c>
      <x:c r="H50" s="19" t="str">
        <x:v>PASS</x:v>
      </x:c>
      <x:c r="I50" s="19" t="str">
        <x:v>None</x:v>
      </x:c>
      <x:c r="J50" s="19" t="str">
        <x:v>None</x:v>
      </x:c>
      <x:c r="K50" s="19" t="str">
        <x:v>Not required</x:v>
      </x:c>
      <x:c r="L50" s="19" t="str">
        <x:v>PASS</x:v>
      </x:c>
      <x:c r="M50" s="19" t="str">
        <x:v>PASS</x:v>
      </x:c>
      <x:c r="N50" s="19" t="str">
        <x:v>2026-08-21</x:v>
      </x:c>
    </x:row>
    <x:row r="51">
      <x:c r="A51" s="19" t="str">
        <x:v>UI-012</x:v>
      </x:c>
      <x:c r="B51" s="19" t="str">
        <x:v>Screen Smoke</x:v>
      </x:c>
      <x:c r="C51" s="19" t="str">
        <x:v>Stock Adjustment</x:v>
      </x:c>
      <x:c r="D51" s="19" t="str">
        <x:v>Open /inventory/adjust as an authorized administrator.</x:v>
      </x:c>
      <x:c r="E51" s="19" t="str">
        <x:v>Authenticate; request /inventory/adjust; verify HTTP response and rendered Blade output.</x:v>
      </x:c>
      <x:c r="F51" s="19" t="str">
        <x:v>HTTP 200 and usable page output.</x:v>
      </x:c>
      <x:c r="G51" s="19" t="str">
        <x:v>HTTP 200; rendered successfully in the complete screen smoke test.</x:v>
      </x:c>
      <x:c r="H51" s="19" t="str">
        <x:v>PASS</x:v>
      </x:c>
      <x:c r="I51" s="19" t="str">
        <x:v>None</x:v>
      </x:c>
      <x:c r="J51" s="19" t="str">
        <x:v>None</x:v>
      </x:c>
      <x:c r="K51" s="19" t="str">
        <x:v>Not required</x:v>
      </x:c>
      <x:c r="L51" s="19" t="str">
        <x:v>PASS</x:v>
      </x:c>
      <x:c r="M51" s="19" t="str">
        <x:v>PASS</x:v>
      </x:c>
      <x:c r="N51" s="19" t="str">
        <x:v>2026-08-21</x:v>
      </x:c>
    </x:row>
    <x:row r="52">
      <x:c r="A52" s="19" t="str">
        <x:v>UI-013</x:v>
      </x:c>
      <x:c r="B52" s="19" t="str">
        <x:v>Screen Smoke</x:v>
      </x:c>
      <x:c r="C52" s="19" t="str">
        <x:v>Remnants</x:v>
      </x:c>
      <x:c r="D52" s="19" t="str">
        <x:v>Open /remnants as an authorized administrator.</x:v>
      </x:c>
      <x:c r="E52" s="19" t="str">
        <x:v>Authenticate; request /remnants; verify HTTP response and rendered Blade output.</x:v>
      </x:c>
      <x:c r="F52" s="19" t="str">
        <x:v>HTTP 200 and usable page output.</x:v>
      </x:c>
      <x:c r="G52" s="19" t="str">
        <x:v>HTTP 200; rendered successfully in the complete screen smoke test.</x:v>
      </x:c>
      <x:c r="H52" s="19" t="str">
        <x:v>PASS</x:v>
      </x:c>
      <x:c r="I52" s="19" t="str">
        <x:v>None</x:v>
      </x:c>
      <x:c r="J52" s="19" t="str">
        <x:v>None</x:v>
      </x:c>
      <x:c r="K52" s="19" t="str">
        <x:v>Not required</x:v>
      </x:c>
      <x:c r="L52" s="19" t="str">
        <x:v>PASS</x:v>
      </x:c>
      <x:c r="M52" s="19" t="str">
        <x:v>PASS</x:v>
      </x:c>
      <x:c r="N52" s="19" t="str">
        <x:v>2026-08-21</x:v>
      </x:c>
    </x:row>
    <x:row r="53">
      <x:c r="A53" s="19" t="str">
        <x:v>UI-014</x:v>
      </x:c>
      <x:c r="B53" s="19" t="str">
        <x:v>Screen Smoke</x:v>
      </x:c>
      <x:c r="C53" s="19" t="str">
        <x:v>Remnant Transfer</x:v>
      </x:c>
      <x:c r="D53" s="19" t="str">
        <x:v>Open /remnants/transfer as an authorized administrator.</x:v>
      </x:c>
      <x:c r="E53" s="19" t="str">
        <x:v>Authenticate; request /remnants/transfer; verify HTTP response and rendered Blade output.</x:v>
      </x:c>
      <x:c r="F53" s="19" t="str">
        <x:v>HTTP 200 and usable page output.</x:v>
      </x:c>
      <x:c r="G53" s="19" t="str">
        <x:v>HTTP 200; rendered successfully in the complete screen smoke test.</x:v>
      </x:c>
      <x:c r="H53" s="19" t="str">
        <x:v>PASS</x:v>
      </x:c>
      <x:c r="I53" s="19" t="str">
        <x:v>None</x:v>
      </x:c>
      <x:c r="J53" s="19" t="str">
        <x:v>None</x:v>
      </x:c>
      <x:c r="K53" s="19" t="str">
        <x:v>Not required</x:v>
      </x:c>
      <x:c r="L53" s="19" t="str">
        <x:v>PASS</x:v>
      </x:c>
      <x:c r="M53" s="19" t="str">
        <x:v>PASS</x:v>
      </x:c>
      <x:c r="N53" s="19" t="str">
        <x:v>2026-08-21</x:v>
      </x:c>
    </x:row>
    <x:row r="54">
      <x:c r="A54" s="19" t="str">
        <x:v>UI-015</x:v>
      </x:c>
      <x:c r="B54" s="19" t="str">
        <x:v>Screen Smoke</x:v>
      </x:c>
      <x:c r="C54" s="19" t="str">
        <x:v>Purchases</x:v>
      </x:c>
      <x:c r="D54" s="19" t="str">
        <x:v>Open /purchases as an authorized administrator.</x:v>
      </x:c>
      <x:c r="E54" s="19" t="str">
        <x:v>Authenticate; request /purchases; verify HTTP response and rendered Blade output.</x:v>
      </x:c>
      <x:c r="F54" s="19" t="str">
        <x:v>HTTP 200 and usable page output.</x:v>
      </x:c>
      <x:c r="G54" s="19" t="str">
        <x:v>HTTP 200; rendered successfully in the complete screen smoke test.</x:v>
      </x:c>
      <x:c r="H54" s="19" t="str">
        <x:v>PASS</x:v>
      </x:c>
      <x:c r="I54" s="19" t="str">
        <x:v>None</x:v>
      </x:c>
      <x:c r="J54" s="19" t="str">
        <x:v>None</x:v>
      </x:c>
      <x:c r="K54" s="19" t="str">
        <x:v>Not required</x:v>
      </x:c>
      <x:c r="L54" s="19" t="str">
        <x:v>PASS</x:v>
      </x:c>
      <x:c r="M54" s="19" t="str">
        <x:v>PASS</x:v>
      </x:c>
      <x:c r="N54" s="19" t="str">
        <x:v>2026-08-21</x:v>
      </x:c>
    </x:row>
    <x:row r="55">
      <x:c r="A55" s="19" t="str">
        <x:v>UI-016</x:v>
      </x:c>
      <x:c r="B55" s="19" t="str">
        <x:v>Screen Smoke</x:v>
      </x:c>
      <x:c r="C55" s="19" t="str">
        <x:v>Create Purchase</x:v>
      </x:c>
      <x:c r="D55" s="19" t="str">
        <x:v>Open /purchases/create as an authorized administrator.</x:v>
      </x:c>
      <x:c r="E55" s="19" t="str">
        <x:v>Authenticate; request /purchases/create; verify HTTP response and rendered Blade output.</x:v>
      </x:c>
      <x:c r="F55" s="19" t="str">
        <x:v>HTTP 200 and usable page output.</x:v>
      </x:c>
      <x:c r="G55" s="19" t="str">
        <x:v>HTTP 200; rendered successfully in the complete screen smoke test.</x:v>
      </x:c>
      <x:c r="H55" s="19" t="str">
        <x:v>PASS</x:v>
      </x:c>
      <x:c r="I55" s="19" t="str">
        <x:v>None</x:v>
      </x:c>
      <x:c r="J55" s="19" t="str">
        <x:v>None</x:v>
      </x:c>
      <x:c r="K55" s="19" t="str">
        <x:v>Not required</x:v>
      </x:c>
      <x:c r="L55" s="19" t="str">
        <x:v>PASS</x:v>
      </x:c>
      <x:c r="M55" s="19" t="str">
        <x:v>PASS</x:v>
      </x:c>
      <x:c r="N55" s="19" t="str">
        <x:v>2026-08-21</x:v>
      </x:c>
    </x:row>
    <x:row r="56">
      <x:c r="A56" s="19" t="str">
        <x:v>UI-017</x:v>
      </x:c>
      <x:c r="B56" s="19" t="str">
        <x:v>Screen Smoke</x:v>
      </x:c>
      <x:c r="C56" s="19" t="str">
        <x:v>Sales</x:v>
      </x:c>
      <x:c r="D56" s="19" t="str">
        <x:v>Open /sales as an authorized administrator.</x:v>
      </x:c>
      <x:c r="E56" s="19" t="str">
        <x:v>Authenticate; request /sales; verify HTTP response and rendered Blade output.</x:v>
      </x:c>
      <x:c r="F56" s="19" t="str">
        <x:v>HTTP 200 and usable page output.</x:v>
      </x:c>
      <x:c r="G56" s="19" t="str">
        <x:v>HTTP 200; rendered successfully in the complete screen smoke test.</x:v>
      </x:c>
      <x:c r="H56" s="19" t="str">
        <x:v>PASS</x:v>
      </x:c>
      <x:c r="I56" s="19" t="str">
        <x:v>None</x:v>
      </x:c>
      <x:c r="J56" s="19" t="str">
        <x:v>None</x:v>
      </x:c>
      <x:c r="K56" s="19" t="str">
        <x:v>Not required</x:v>
      </x:c>
      <x:c r="L56" s="19" t="str">
        <x:v>PASS</x:v>
      </x:c>
      <x:c r="M56" s="19" t="str">
        <x:v>PASS</x:v>
      </x:c>
      <x:c r="N56" s="19" t="str">
        <x:v>2026-08-21</x:v>
      </x:c>
    </x:row>
    <x:row r="57">
      <x:c r="A57" s="19" t="str">
        <x:v>UI-018</x:v>
      </x:c>
      <x:c r="B57" s="19" t="str">
        <x:v>Screen Smoke</x:v>
      </x:c>
      <x:c r="C57" s="19" t="str">
        <x:v>Customers</x:v>
      </x:c>
      <x:c r="D57" s="19" t="str">
        <x:v>Open /customers as an authorized administrator.</x:v>
      </x:c>
      <x:c r="E57" s="19" t="str">
        <x:v>Authenticate; request /customers; verify HTTP response and rendered Blade output.</x:v>
      </x:c>
      <x:c r="F57" s="19" t="str">
        <x:v>HTTP 200 and usable page output.</x:v>
      </x:c>
      <x:c r="G57" s="19" t="str">
        <x:v>HTTP 200; rendered successfully in the complete screen smoke test.</x:v>
      </x:c>
      <x:c r="H57" s="19" t="str">
        <x:v>PASS</x:v>
      </x:c>
      <x:c r="I57" s="19" t="str">
        <x:v>None</x:v>
      </x:c>
      <x:c r="J57" s="19" t="str">
        <x:v>None</x:v>
      </x:c>
      <x:c r="K57" s="19" t="str">
        <x:v>Not required</x:v>
      </x:c>
      <x:c r="L57" s="19" t="str">
        <x:v>PASS</x:v>
      </x:c>
      <x:c r="M57" s="19" t="str">
        <x:v>PASS</x:v>
      </x:c>
      <x:c r="N57" s="19" t="str">
        <x:v>2026-08-21</x:v>
      </x:c>
    </x:row>
    <x:row r="58">
      <x:c r="A58" s="19" t="str">
        <x:v>UI-019</x:v>
      </x:c>
      <x:c r="B58" s="19" t="str">
        <x:v>Screen Smoke</x:v>
      </x:c>
      <x:c r="C58" s="19" t="str">
        <x:v>Suppliers</x:v>
      </x:c>
      <x:c r="D58" s="19" t="str">
        <x:v>Open /suppliers as an authorized administrator.</x:v>
      </x:c>
      <x:c r="E58" s="19" t="str">
        <x:v>Authenticate; request /suppliers; verify HTTP response and rendered Blade output.</x:v>
      </x:c>
      <x:c r="F58" s="19" t="str">
        <x:v>HTTP 200 and usable page output.</x:v>
      </x:c>
      <x:c r="G58" s="19" t="str">
        <x:v>HTTP 200; rendered successfully in the complete screen smoke test.</x:v>
      </x:c>
      <x:c r="H58" s="19" t="str">
        <x:v>PASS</x:v>
      </x:c>
      <x:c r="I58" s="19" t="str">
        <x:v>None</x:v>
      </x:c>
      <x:c r="J58" s="19" t="str">
        <x:v>None</x:v>
      </x:c>
      <x:c r="K58" s="19" t="str">
        <x:v>Not required</x:v>
      </x:c>
      <x:c r="L58" s="19" t="str">
        <x:v>PASS</x:v>
      </x:c>
      <x:c r="M58" s="19" t="str">
        <x:v>PASS</x:v>
      </x:c>
      <x:c r="N58" s="19" t="str">
        <x:v>2026-08-21</x:v>
      </x:c>
    </x:row>
    <x:row r="59">
      <x:c r="A59" s="19" t="str">
        <x:v>UI-020</x:v>
      </x:c>
      <x:c r="B59" s="19" t="str">
        <x:v>Screen Smoke</x:v>
      </x:c>
      <x:c r="C59" s="19" t="str">
        <x:v>Expenses</x:v>
      </x:c>
      <x:c r="D59" s="19" t="str">
        <x:v>Open /expenses as an authorized administrator.</x:v>
      </x:c>
      <x:c r="E59" s="19" t="str">
        <x:v>Authenticate; request /expenses; verify HTTP response and rendered Blade output.</x:v>
      </x:c>
      <x:c r="F59" s="19" t="str">
        <x:v>HTTP 200 and usable page output.</x:v>
      </x:c>
      <x:c r="G59" s="19" t="str">
        <x:v>HTTP 200; rendered successfully in the complete screen smoke test.</x:v>
      </x:c>
      <x:c r="H59" s="19" t="str">
        <x:v>PASS</x:v>
      </x:c>
      <x:c r="I59" s="19" t="str">
        <x:v>None</x:v>
      </x:c>
      <x:c r="J59" s="19" t="str">
        <x:v>None</x:v>
      </x:c>
      <x:c r="K59" s="19" t="str">
        <x:v>Not required</x:v>
      </x:c>
      <x:c r="L59" s="19" t="str">
        <x:v>PASS</x:v>
      </x:c>
      <x:c r="M59" s="19" t="str">
        <x:v>PASS</x:v>
      </x:c>
      <x:c r="N59" s="19" t="str">
        <x:v>2026-08-21</x:v>
      </x:c>
    </x:row>
    <x:row r="60">
      <x:c r="A60" s="19" t="str">
        <x:v>UI-021</x:v>
      </x:c>
      <x:c r="B60" s="19" t="str">
        <x:v>Screen Smoke</x:v>
      </x:c>
      <x:c r="C60" s="19" t="str">
        <x:v>Customer Profile</x:v>
      </x:c>
      <x:c r="D60" s="19" t="str">
        <x:v>Open /customers/{customer} as an authorized administrator.</x:v>
      </x:c>
      <x:c r="E60" s="19" t="str">
        <x:v>Authenticate; request /customers/{customer}; verify HTTP response and rendered Blade output.</x:v>
      </x:c>
      <x:c r="F60" s="19" t="str">
        <x:v>HTTP 200 and usable page output.</x:v>
      </x:c>
      <x:c r="G60" s="19" t="str">
        <x:v>HTTP 200; rendered successfully in the complete screen smoke test.</x:v>
      </x:c>
      <x:c r="H60" s="19" t="str">
        <x:v>PASS</x:v>
      </x:c>
      <x:c r="I60" s="19" t="str">
        <x:v>None</x:v>
      </x:c>
      <x:c r="J60" s="19" t="str">
        <x:v>None</x:v>
      </x:c>
      <x:c r="K60" s="19" t="str">
        <x:v>Not required</x:v>
      </x:c>
      <x:c r="L60" s="19" t="str">
        <x:v>PASS</x:v>
      </x:c>
      <x:c r="M60" s="19" t="str">
        <x:v>PASS</x:v>
      </x:c>
      <x:c r="N60" s="19" t="str">
        <x:v>2026-08-21</x:v>
      </x:c>
    </x:row>
    <x:row r="61">
      <x:c r="A61" s="19" t="str">
        <x:v>UI-022</x:v>
      </x:c>
      <x:c r="B61" s="19" t="str">
        <x:v>Screen Smoke</x:v>
      </x:c>
      <x:c r="C61" s="19" t="str">
        <x:v>Supplier Profile</x:v>
      </x:c>
      <x:c r="D61" s="19" t="str">
        <x:v>Open /suppliers/{supplier} as an authorized administrator.</x:v>
      </x:c>
      <x:c r="E61" s="19" t="str">
        <x:v>Authenticate; request /suppliers/{supplier}; verify HTTP response and rendered Blade output.</x:v>
      </x:c>
      <x:c r="F61" s="19" t="str">
        <x:v>HTTP 200 and usable page output.</x:v>
      </x:c>
      <x:c r="G61" s="19" t="str">
        <x:v>HTTP 200; rendered successfully in the complete screen smoke test.</x:v>
      </x:c>
      <x:c r="H61" s="19" t="str">
        <x:v>PASS</x:v>
      </x:c>
      <x:c r="I61" s="19" t="str">
        <x:v>None</x:v>
      </x:c>
      <x:c r="J61" s="19" t="str">
        <x:v>None</x:v>
      </x:c>
      <x:c r="K61" s="19" t="str">
        <x:v>Not required</x:v>
      </x:c>
      <x:c r="L61" s="19" t="str">
        <x:v>PASS</x:v>
      </x:c>
      <x:c r="M61" s="19" t="str">
        <x:v>PASS</x:v>
      </x:c>
      <x:c r="N61" s="19" t="str">
        <x:v>2026-08-21</x:v>
      </x:c>
    </x:row>
    <x:row r="62">
      <x:c r="A62" s="19" t="str">
        <x:v>UI-023</x:v>
      </x:c>
      <x:c r="B62" s="19" t="str">
        <x:v>Screen Smoke</x:v>
      </x:c>
      <x:c r="C62" s="19" t="str">
        <x:v>Purchase Returns</x:v>
      </x:c>
      <x:c r="D62" s="19" t="str">
        <x:v>Open /purchases/returns as an authorized administrator.</x:v>
      </x:c>
      <x:c r="E62" s="19" t="str">
        <x:v>Authenticate; request /purchases/returns; verify HTTP response and rendered Blade output.</x:v>
      </x:c>
      <x:c r="F62" s="19" t="str">
        <x:v>HTTP 200 and usable page output.</x:v>
      </x:c>
      <x:c r="G62" s="19" t="str">
        <x:v>HTTP 200; rendered successfully in the complete screen smoke test.</x:v>
      </x:c>
      <x:c r="H62" s="19" t="str">
        <x:v>PASS</x:v>
      </x:c>
      <x:c r="I62" s="19" t="str">
        <x:v>None</x:v>
      </x:c>
      <x:c r="J62" s="19" t="str">
        <x:v>None</x:v>
      </x:c>
      <x:c r="K62" s="19" t="str">
        <x:v>Not required</x:v>
      </x:c>
      <x:c r="L62" s="19" t="str">
        <x:v>PASS</x:v>
      </x:c>
      <x:c r="M62" s="19" t="str">
        <x:v>PASS</x:v>
      </x:c>
      <x:c r="N62" s="19" t="str">
        <x:v>2026-08-21</x:v>
      </x:c>
    </x:row>
    <x:row r="63">
      <x:c r="A63" s="19" t="str">
        <x:v>UI-024</x:v>
      </x:c>
      <x:c r="B63" s="19" t="str">
        <x:v>Screen Smoke</x:v>
      </x:c>
      <x:c r="C63" s="19" t="str">
        <x:v>Sales Returns</x:v>
      </x:c>
      <x:c r="D63" s="19" t="str">
        <x:v>Open /sales/returns as an authorized administrator.</x:v>
      </x:c>
      <x:c r="E63" s="19" t="str">
        <x:v>Authenticate; request /sales/returns; verify HTTP response and rendered Blade output.</x:v>
      </x:c>
      <x:c r="F63" s="19" t="str">
        <x:v>HTTP 200 and usable page output.</x:v>
      </x:c>
      <x:c r="G63" s="19" t="str">
        <x:v>HTTP 200; rendered successfully in the complete screen smoke test.</x:v>
      </x:c>
      <x:c r="H63" s="19" t="str">
        <x:v>PASS</x:v>
      </x:c>
      <x:c r="I63" s="19" t="str">
        <x:v>None</x:v>
      </x:c>
      <x:c r="J63" s="19" t="str">
        <x:v>None</x:v>
      </x:c>
      <x:c r="K63" s="19" t="str">
        <x:v>Not required</x:v>
      </x:c>
      <x:c r="L63" s="19" t="str">
        <x:v>PASS</x:v>
      </x:c>
      <x:c r="M63" s="19" t="str">
        <x:v>PASS</x:v>
      </x:c>
      <x:c r="N63" s="19" t="str">
        <x:v>2026-08-21</x:v>
      </x:c>
    </x:row>
    <x:row r="64">
      <x:c r="A64" s="19" t="str">
        <x:v>UI-025</x:v>
      </x:c>
      <x:c r="B64" s="19" t="str">
        <x:v>Screen Smoke</x:v>
      </x:c>
      <x:c r="C64" s="19" t="str">
        <x:v>Stock Transfers</x:v>
      </x:c>
      <x:c r="D64" s="19" t="str">
        <x:v>Open /transfers as an authorized administrator.</x:v>
      </x:c>
      <x:c r="E64" s="19" t="str">
        <x:v>Authenticate; request /transfers; verify HTTP response and rendered Blade output.</x:v>
      </x:c>
      <x:c r="F64" s="19" t="str">
        <x:v>HTTP 200 and usable page output.</x:v>
      </x:c>
      <x:c r="G64" s="19" t="str">
        <x:v>HTTP 200; rendered successfully in the complete screen smoke test.</x:v>
      </x:c>
      <x:c r="H64" s="19" t="str">
        <x:v>PASS</x:v>
      </x:c>
      <x:c r="I64" s="19" t="str">
        <x:v>None</x:v>
      </x:c>
      <x:c r="J64" s="19" t="str">
        <x:v>None</x:v>
      </x:c>
      <x:c r="K64" s="19" t="str">
        <x:v>Not required</x:v>
      </x:c>
      <x:c r="L64" s="19" t="str">
        <x:v>PASS</x:v>
      </x:c>
      <x:c r="M64" s="19" t="str">
        <x:v>PASS</x:v>
      </x:c>
      <x:c r="N64" s="19" t="str">
        <x:v>2026-08-21</x:v>
      </x:c>
    </x:row>
    <x:row r="65">
      <x:c r="A65" s="19" t="str">
        <x:v>UI-026</x:v>
      </x:c>
      <x:c r="B65" s="19" t="str">
        <x:v>Screen Smoke</x:v>
      </x:c>
      <x:c r="C65" s="19" t="str">
        <x:v>Expense Categories</x:v>
      </x:c>
      <x:c r="D65" s="19" t="str">
        <x:v>Open /expenses/categories as an authorized administrator.</x:v>
      </x:c>
      <x:c r="E65" s="19" t="str">
        <x:v>Authenticate; request /expenses/categories; verify HTTP response and rendered Blade output.</x:v>
      </x:c>
      <x:c r="F65" s="19" t="str">
        <x:v>HTTP 200 and usable page output.</x:v>
      </x:c>
      <x:c r="G65" s="19" t="str">
        <x:v>HTTP 200; rendered successfully in the complete screen smoke test.</x:v>
      </x:c>
      <x:c r="H65" s="19" t="str">
        <x:v>PASS</x:v>
      </x:c>
      <x:c r="I65" s="19" t="str">
        <x:v>None</x:v>
      </x:c>
      <x:c r="J65" s="19" t="str">
        <x:v>None</x:v>
      </x:c>
      <x:c r="K65" s="19" t="str">
        <x:v>Not required</x:v>
      </x:c>
      <x:c r="L65" s="19" t="str">
        <x:v>PASS</x:v>
      </x:c>
      <x:c r="M65" s="19" t="str">
        <x:v>PASS</x:v>
      </x:c>
      <x:c r="N65" s="19" t="str">
        <x:v>2026-08-21</x:v>
      </x:c>
    </x:row>
    <x:row r="66">
      <x:c r="A66" s="19" t="str">
        <x:v>UI-027</x:v>
      </x:c>
      <x:c r="B66" s="19" t="str">
        <x:v>Screen Smoke</x:v>
      </x:c>
      <x:c r="C66" s="19" t="str">
        <x:v>Cheque Dashboard</x:v>
      </x:c>
      <x:c r="D66" s="19" t="str">
        <x:v>Open /cheques as an authorized administrator.</x:v>
      </x:c>
      <x:c r="E66" s="19" t="str">
        <x:v>Authenticate; request /cheques; verify HTTP response and rendered Blade output.</x:v>
      </x:c>
      <x:c r="F66" s="19" t="str">
        <x:v>HTTP 200 and usable page output.</x:v>
      </x:c>
      <x:c r="G66" s="19" t="str">
        <x:v>HTTP 200; rendered successfully in the complete screen smoke test.</x:v>
      </x:c>
      <x:c r="H66" s="19" t="str">
        <x:v>PASS</x:v>
      </x:c>
      <x:c r="I66" s="19" t="str">
        <x:v>None</x:v>
      </x:c>
      <x:c r="J66" s="19" t="str">
        <x:v>None</x:v>
      </x:c>
      <x:c r="K66" s="19" t="str">
        <x:v>Not required</x:v>
      </x:c>
      <x:c r="L66" s="19" t="str">
        <x:v>PASS</x:v>
      </x:c>
      <x:c r="M66" s="19" t="str">
        <x:v>PASS</x:v>
      </x:c>
      <x:c r="N66" s="19" t="str">
        <x:v>2026-08-21</x:v>
      </x:c>
    </x:row>
    <x:row r="67">
      <x:c r="A67" s="19" t="str">
        <x:v>UI-028</x:v>
      </x:c>
      <x:c r="B67" s="19" t="str">
        <x:v>Screen Smoke</x:v>
      </x:c>
      <x:c r="C67" s="19" t="str">
        <x:v>Received Cheques</x:v>
      </x:c>
      <x:c r="D67" s="19" t="str">
        <x:v>Open /cheques/received as an authorized administrator.</x:v>
      </x:c>
      <x:c r="E67" s="19" t="str">
        <x:v>Authenticate; request /cheques/received; verify HTTP response and rendered Blade output.</x:v>
      </x:c>
      <x:c r="F67" s="19" t="str">
        <x:v>HTTP 200 and usable page output.</x:v>
      </x:c>
      <x:c r="G67" s="19" t="str">
        <x:v>HTTP 200; rendered successfully in the complete screen smoke test.</x:v>
      </x:c>
      <x:c r="H67" s="19" t="str">
        <x:v>PASS</x:v>
      </x:c>
      <x:c r="I67" s="19" t="str">
        <x:v>None</x:v>
      </x:c>
      <x:c r="J67" s="19" t="str">
        <x:v>None</x:v>
      </x:c>
      <x:c r="K67" s="19" t="str">
        <x:v>Not required</x:v>
      </x:c>
      <x:c r="L67" s="19" t="str">
        <x:v>PASS</x:v>
      </x:c>
      <x:c r="M67" s="19" t="str">
        <x:v>PASS</x:v>
      </x:c>
      <x:c r="N67" s="19" t="str">
        <x:v>2026-08-21</x:v>
      </x:c>
    </x:row>
    <x:row r="68">
      <x:c r="A68" s="19" t="str">
        <x:v>UI-029</x:v>
      </x:c>
      <x:c r="B68" s="19" t="str">
        <x:v>Screen Smoke</x:v>
      </x:c>
      <x:c r="C68" s="19" t="str">
        <x:v>Issued Cheques</x:v>
      </x:c>
      <x:c r="D68" s="19" t="str">
        <x:v>Open /cheques/issued as an authorized administrator.</x:v>
      </x:c>
      <x:c r="E68" s="19" t="str">
        <x:v>Authenticate; request /cheques/issued; verify HTTP response and rendered Blade output.</x:v>
      </x:c>
      <x:c r="F68" s="19" t="str">
        <x:v>HTTP 200 and usable page output.</x:v>
      </x:c>
      <x:c r="G68" s="19" t="str">
        <x:v>HTTP 200; rendered successfully in the complete screen smoke test.</x:v>
      </x:c>
      <x:c r="H68" s="19" t="str">
        <x:v>PASS</x:v>
      </x:c>
      <x:c r="I68" s="19" t="str">
        <x:v>None</x:v>
      </x:c>
      <x:c r="J68" s="19" t="str">
        <x:v>None</x:v>
      </x:c>
      <x:c r="K68" s="19" t="str">
        <x:v>Not required</x:v>
      </x:c>
      <x:c r="L68" s="19" t="str">
        <x:v>PASS</x:v>
      </x:c>
      <x:c r="M68" s="19" t="str">
        <x:v>PASS</x:v>
      </x:c>
      <x:c r="N68" s="19" t="str">
        <x:v>2026-08-21</x:v>
      </x:c>
    </x:row>
    <x:row r="69">
      <x:c r="A69" s="19" t="str">
        <x:v>UI-030</x:v>
      </x:c>
      <x:c r="B69" s="19" t="str">
        <x:v>Screen Smoke</x:v>
      </x:c>
      <x:c r="C69" s="19" t="str">
        <x:v>Cheque History</x:v>
      </x:c>
      <x:c r="D69" s="19" t="str">
        <x:v>Open /cheques/history as an authorized administrator.</x:v>
      </x:c>
      <x:c r="E69" s="19" t="str">
        <x:v>Authenticate; request /cheques/history; verify HTTP response and rendered Blade output.</x:v>
      </x:c>
      <x:c r="F69" s="19" t="str">
        <x:v>HTTP 200 and usable page output.</x:v>
      </x:c>
      <x:c r="G69" s="19" t="str">
        <x:v>HTTP 200; rendered successfully in the complete screen smoke test.</x:v>
      </x:c>
      <x:c r="H69" s="19" t="str">
        <x:v>PASS</x:v>
      </x:c>
      <x:c r="I69" s="19" t="str">
        <x:v>None</x:v>
      </x:c>
      <x:c r="J69" s="19" t="str">
        <x:v>None</x:v>
      </x:c>
      <x:c r="K69" s="19" t="str">
        <x:v>Not required</x:v>
      </x:c>
      <x:c r="L69" s="19" t="str">
        <x:v>PASS</x:v>
      </x:c>
      <x:c r="M69" s="19" t="str">
        <x:v>PASS</x:v>
      </x:c>
      <x:c r="N69" s="19" t="str">
        <x:v>2026-08-21</x:v>
      </x:c>
    </x:row>
    <x:row r="70">
      <x:c r="A70" s="19" t="str">
        <x:v>UI-031</x:v>
      </x:c>
      <x:c r="B70" s="19" t="str">
        <x:v>Screen Smoke</x:v>
      </x:c>
      <x:c r="C70" s="19" t="str">
        <x:v>Sales Report</x:v>
      </x:c>
      <x:c r="D70" s="19" t="str">
        <x:v>Open /reports/sales as an authorized administrator.</x:v>
      </x:c>
      <x:c r="E70" s="19" t="str">
        <x:v>Authenticate; request /reports/sales; verify HTTP response and rendered Blade output.</x:v>
      </x:c>
      <x:c r="F70" s="19" t="str">
        <x:v>HTTP 200 and usable page output.</x:v>
      </x:c>
      <x:c r="G70" s="19" t="str">
        <x:v>HTTP 200; rendered successfully in the complete screen smoke test.</x:v>
      </x:c>
      <x:c r="H70" s="19" t="str">
        <x:v>PASS</x:v>
      </x:c>
      <x:c r="I70" s="19" t="str">
        <x:v>None</x:v>
      </x:c>
      <x:c r="J70" s="19" t="str">
        <x:v>None</x:v>
      </x:c>
      <x:c r="K70" s="19" t="str">
        <x:v>Not required</x:v>
      </x:c>
      <x:c r="L70" s="19" t="str">
        <x:v>PASS</x:v>
      </x:c>
      <x:c r="M70" s="19" t="str">
        <x:v>PASS</x:v>
      </x:c>
      <x:c r="N70" s="19" t="str">
        <x:v>2026-08-21</x:v>
      </x:c>
    </x:row>
    <x:row r="71">
      <x:c r="A71" s="19" t="str">
        <x:v>UI-032</x:v>
      </x:c>
      <x:c r="B71" s="19" t="str">
        <x:v>Screen Smoke</x:v>
      </x:c>
      <x:c r="C71" s="19" t="str">
        <x:v>Purchase Report</x:v>
      </x:c>
      <x:c r="D71" s="19" t="str">
        <x:v>Open /reports/purchases as an authorized administrator.</x:v>
      </x:c>
      <x:c r="E71" s="19" t="str">
        <x:v>Authenticate; request /reports/purchases; verify HTTP response and rendered Blade output.</x:v>
      </x:c>
      <x:c r="F71" s="19" t="str">
        <x:v>HTTP 200 and usable page output.</x:v>
      </x:c>
      <x:c r="G71" s="19" t="str">
        <x:v>HTTP 200; rendered successfully in the complete screen smoke test.</x:v>
      </x:c>
      <x:c r="H71" s="19" t="str">
        <x:v>PASS</x:v>
      </x:c>
      <x:c r="I71" s="19" t="str">
        <x:v>None</x:v>
      </x:c>
      <x:c r="J71" s="19" t="str">
        <x:v>None</x:v>
      </x:c>
      <x:c r="K71" s="19" t="str">
        <x:v>Not required</x:v>
      </x:c>
      <x:c r="L71" s="19" t="str">
        <x:v>PASS</x:v>
      </x:c>
      <x:c r="M71" s="19" t="str">
        <x:v>PASS</x:v>
      </x:c>
      <x:c r="N71" s="19" t="str">
        <x:v>2026-08-21</x:v>
      </x:c>
    </x:row>
    <x:row r="72">
      <x:c r="A72" s="19" t="str">
        <x:v>UI-033</x:v>
      </x:c>
      <x:c r="B72" s="19" t="str">
        <x:v>Screen Smoke</x:v>
      </x:c>
      <x:c r="C72" s="19" t="str">
        <x:v>Stock Report</x:v>
      </x:c>
      <x:c r="D72" s="19" t="str">
        <x:v>Open /reports/stock as an authorized administrator.</x:v>
      </x:c>
      <x:c r="E72" s="19" t="str">
        <x:v>Authenticate; request /reports/stock; verify HTTP response and rendered Blade output.</x:v>
      </x:c>
      <x:c r="F72" s="19" t="str">
        <x:v>HTTP 200 and usable page output.</x:v>
      </x:c>
      <x:c r="G72" s="19" t="str">
        <x:v>HTTP 200; rendered successfully in the complete screen smoke test.</x:v>
      </x:c>
      <x:c r="H72" s="19" t="str">
        <x:v>PASS</x:v>
      </x:c>
      <x:c r="I72" s="19" t="str">
        <x:v>None</x:v>
      </x:c>
      <x:c r="J72" s="19" t="str">
        <x:v>None</x:v>
      </x:c>
      <x:c r="K72" s="19" t="str">
        <x:v>Not required</x:v>
      </x:c>
      <x:c r="L72" s="19" t="str">
        <x:v>PASS</x:v>
      </x:c>
      <x:c r="M72" s="19" t="str">
        <x:v>PASS</x:v>
      </x:c>
      <x:c r="N72" s="19" t="str">
        <x:v>2026-08-21</x:v>
      </x:c>
    </x:row>
    <x:row r="73">
      <x:c r="A73" s="19" t="str">
        <x:v>UI-034</x:v>
      </x:c>
      <x:c r="B73" s="19" t="str">
        <x:v>Screen Smoke</x:v>
      </x:c>
      <x:c r="C73" s="19" t="str">
        <x:v>Low Stock Report</x:v>
      </x:c>
      <x:c r="D73" s="19" t="str">
        <x:v>Open /reports/low-stock as an authorized administrator.</x:v>
      </x:c>
      <x:c r="E73" s="19" t="str">
        <x:v>Authenticate; request /reports/low-stock; verify HTTP response and rendered Blade output.</x:v>
      </x:c>
      <x:c r="F73" s="19" t="str">
        <x:v>HTTP 200 and usable page output.</x:v>
      </x:c>
      <x:c r="G73" s="19" t="str">
        <x:v>HTTP 200; rendered successfully in the complete screen smoke test.</x:v>
      </x:c>
      <x:c r="H73" s="19" t="str">
        <x:v>PASS</x:v>
      </x:c>
      <x:c r="I73" s="19" t="str">
        <x:v>None</x:v>
      </x:c>
      <x:c r="J73" s="19" t="str">
        <x:v>None</x:v>
      </x:c>
      <x:c r="K73" s="19" t="str">
        <x:v>Not required</x:v>
      </x:c>
      <x:c r="L73" s="19" t="str">
        <x:v>PASS</x:v>
      </x:c>
      <x:c r="M73" s="19" t="str">
        <x:v>PASS</x:v>
      </x:c>
      <x:c r="N73" s="19" t="str">
        <x:v>2026-08-21</x:v>
      </x:c>
    </x:row>
    <x:row r="74">
      <x:c r="A74" s="19" t="str">
        <x:v>UI-035</x:v>
      </x:c>
      <x:c r="B74" s="19" t="str">
        <x:v>Screen Smoke</x:v>
      </x:c>
      <x:c r="C74" s="19" t="str">
        <x:v>Profit/Loss Report</x:v>
      </x:c>
      <x:c r="D74" s="19" t="str">
        <x:v>Open /reports/profit-loss as an authorized administrator.</x:v>
      </x:c>
      <x:c r="E74" s="19" t="str">
        <x:v>Authenticate; request /reports/profit-loss; verify HTTP response and rendered Blade output.</x:v>
      </x:c>
      <x:c r="F74" s="19" t="str">
        <x:v>HTTP 200 and usable page output.</x:v>
      </x:c>
      <x:c r="G74" s="19" t="str">
        <x:v>HTTP 200; rendered successfully in the complete screen smoke test.</x:v>
      </x:c>
      <x:c r="H74" s="19" t="str">
        <x:v>PASS</x:v>
      </x:c>
      <x:c r="I74" s="19" t="str">
        <x:v>None</x:v>
      </x:c>
      <x:c r="J74" s="19" t="str">
        <x:v>None</x:v>
      </x:c>
      <x:c r="K74" s="19" t="str">
        <x:v>Not required</x:v>
      </x:c>
      <x:c r="L74" s="19" t="str">
        <x:v>PASS</x:v>
      </x:c>
      <x:c r="M74" s="19" t="str">
        <x:v>PASS</x:v>
      </x:c>
      <x:c r="N74" s="19" t="str">
        <x:v>2026-08-21</x:v>
      </x:c>
    </x:row>
    <x:row r="75">
      <x:c r="A75" s="19" t="str">
        <x:v>UI-036</x:v>
      </x:c>
      <x:c r="B75" s="19" t="str">
        <x:v>Screen Smoke</x:v>
      </x:c>
      <x:c r="C75" s="19" t="str">
        <x:v>Stock Valuation</x:v>
      </x:c>
      <x:c r="D75" s="19" t="str">
        <x:v>Open /reports/stock-valuation as an authorized administrator.</x:v>
      </x:c>
      <x:c r="E75" s="19" t="str">
        <x:v>Authenticate; request /reports/stock-valuation; verify HTTP response and rendered Blade output.</x:v>
      </x:c>
      <x:c r="F75" s="19" t="str">
        <x:v>HTTP 200 and usable page output.</x:v>
      </x:c>
      <x:c r="G75" s="19" t="str">
        <x:v>HTTP 200; rendered successfully in the complete screen smoke test.</x:v>
      </x:c>
      <x:c r="H75" s="19" t="str">
        <x:v>PASS</x:v>
      </x:c>
      <x:c r="I75" s="19" t="str">
        <x:v>None</x:v>
      </x:c>
      <x:c r="J75" s="19" t="str">
        <x:v>None</x:v>
      </x:c>
      <x:c r="K75" s="19" t="str">
        <x:v>Not required</x:v>
      </x:c>
      <x:c r="L75" s="19" t="str">
        <x:v>PASS</x:v>
      </x:c>
      <x:c r="M75" s="19" t="str">
        <x:v>PASS</x:v>
      </x:c>
      <x:c r="N75" s="19" t="str">
        <x:v>2026-08-21</x:v>
      </x:c>
    </x:row>
    <x:row r="76">
      <x:c r="A76" s="19" t="str">
        <x:v>UI-037</x:v>
      </x:c>
      <x:c r="B76" s="19" t="str">
        <x:v>Screen Smoke</x:v>
      </x:c>
      <x:c r="C76" s="19" t="str">
        <x:v>Dead Stock</x:v>
      </x:c>
      <x:c r="D76" s="19" t="str">
        <x:v>Open /reports/dead-stock as an authorized administrator.</x:v>
      </x:c>
      <x:c r="E76" s="19" t="str">
        <x:v>Authenticate; request /reports/dead-stock; verify HTTP response and rendered Blade output.</x:v>
      </x:c>
      <x:c r="F76" s="19" t="str">
        <x:v>HTTP 200 and usable page output.</x:v>
      </x:c>
      <x:c r="G76" s="19" t="str">
        <x:v>HTTP 200; rendered successfully in the complete screen smoke test.</x:v>
      </x:c>
      <x:c r="H76" s="19" t="str">
        <x:v>PASS</x:v>
      </x:c>
      <x:c r="I76" s="19" t="str">
        <x:v>None</x:v>
      </x:c>
      <x:c r="J76" s="19" t="str">
        <x:v>None</x:v>
      </x:c>
      <x:c r="K76" s="19" t="str">
        <x:v>Not required</x:v>
      </x:c>
      <x:c r="L76" s="19" t="str">
        <x:v>PASS</x:v>
      </x:c>
      <x:c r="M76" s="19" t="str">
        <x:v>PASS</x:v>
      </x:c>
      <x:c r="N76" s="19" t="str">
        <x:v>2026-08-21</x:v>
      </x:c>
    </x:row>
    <x:row r="77">
      <x:c r="A77" s="19" t="str">
        <x:v>UI-038</x:v>
      </x:c>
      <x:c r="B77" s="19" t="str">
        <x:v>Screen Smoke</x:v>
      </x:c>
      <x:c r="C77" s="19" t="str">
        <x:v>Expense Report</x:v>
      </x:c>
      <x:c r="D77" s="19" t="str">
        <x:v>Open /reports/expenses as an authorized administrator.</x:v>
      </x:c>
      <x:c r="E77" s="19" t="str">
        <x:v>Authenticate; request /reports/expenses; verify HTTP response and rendered Blade output.</x:v>
      </x:c>
      <x:c r="F77" s="19" t="str">
        <x:v>HTTP 200 and usable page output.</x:v>
      </x:c>
      <x:c r="G77" s="19" t="str">
        <x:v>HTTP 200; rendered successfully in the complete screen smoke test.</x:v>
      </x:c>
      <x:c r="H77" s="19" t="str">
        <x:v>PASS</x:v>
      </x:c>
      <x:c r="I77" s="19" t="str">
        <x:v>None</x:v>
      </x:c>
      <x:c r="J77" s="19" t="str">
        <x:v>None</x:v>
      </x:c>
      <x:c r="K77" s="19" t="str">
        <x:v>Not required</x:v>
      </x:c>
      <x:c r="L77" s="19" t="str">
        <x:v>PASS</x:v>
      </x:c>
      <x:c r="M77" s="19" t="str">
        <x:v>PASS</x:v>
      </x:c>
      <x:c r="N77" s="19" t="str">
        <x:v>2026-08-21</x:v>
      </x:c>
    </x:row>
    <x:row r="78">
      <x:c r="A78" s="19" t="str">
        <x:v>UI-039</x:v>
      </x:c>
      <x:c r="B78" s="19" t="str">
        <x:v>Screen Smoke</x:v>
      </x:c>
      <x:c r="C78" s="19" t="str">
        <x:v>Due Bills</x:v>
      </x:c>
      <x:c r="D78" s="19" t="str">
        <x:v>Open /reports/due-bills as an authorized administrator.</x:v>
      </x:c>
      <x:c r="E78" s="19" t="str">
        <x:v>Authenticate; request /reports/due-bills; verify HTTP response and rendered Blade output.</x:v>
      </x:c>
      <x:c r="F78" s="19" t="str">
        <x:v>HTTP 200 and usable page output.</x:v>
      </x:c>
      <x:c r="G78" s="19" t="str">
        <x:v>HTTP 200; rendered successfully in the complete screen smoke test.</x:v>
      </x:c>
      <x:c r="H78" s="19" t="str">
        <x:v>PASS</x:v>
      </x:c>
      <x:c r="I78" s="19" t="str">
        <x:v>None</x:v>
      </x:c>
      <x:c r="J78" s="19" t="str">
        <x:v>None</x:v>
      </x:c>
      <x:c r="K78" s="19" t="str">
        <x:v>Not required</x:v>
      </x:c>
      <x:c r="L78" s="19" t="str">
        <x:v>PASS</x:v>
      </x:c>
      <x:c r="M78" s="19" t="str">
        <x:v>PASS</x:v>
      </x:c>
      <x:c r="N78" s="19" t="str">
        <x:v>2026-08-21</x:v>
      </x:c>
    </x:row>
    <x:row r="79">
      <x:c r="A79" s="19" t="str">
        <x:v>UI-040</x:v>
      </x:c>
      <x:c r="B79" s="19" t="str">
        <x:v>Screen Smoke</x:v>
      </x:c>
      <x:c r="C79" s="19" t="str">
        <x:v>Customer Due</x:v>
      </x:c>
      <x:c r="D79" s="19" t="str">
        <x:v>Open /reports/customer-due as an authorized administrator.</x:v>
      </x:c>
      <x:c r="E79" s="19" t="str">
        <x:v>Authenticate; request /reports/customer-due; verify HTTP response and rendered Blade output.</x:v>
      </x:c>
      <x:c r="F79" s="19" t="str">
        <x:v>HTTP 200 and usable page output.</x:v>
      </x:c>
      <x:c r="G79" s="19" t="str">
        <x:v>HTTP 200; rendered successfully in the complete screen smoke test.</x:v>
      </x:c>
      <x:c r="H79" s="19" t="str">
        <x:v>PASS</x:v>
      </x:c>
      <x:c r="I79" s="19" t="str">
        <x:v>None</x:v>
      </x:c>
      <x:c r="J79" s="19" t="str">
        <x:v>None</x:v>
      </x:c>
      <x:c r="K79" s="19" t="str">
        <x:v>Not required</x:v>
      </x:c>
      <x:c r="L79" s="19" t="str">
        <x:v>PASS</x:v>
      </x:c>
      <x:c r="M79" s="19" t="str">
        <x:v>PASS</x:v>
      </x:c>
      <x:c r="N79" s="19" t="str">
        <x:v>2026-08-21</x:v>
      </x:c>
    </x:row>
    <x:row r="80">
      <x:c r="A80" s="19" t="str">
        <x:v>UI-041</x:v>
      </x:c>
      <x:c r="B80" s="19" t="str">
        <x:v>Screen Smoke</x:v>
      </x:c>
      <x:c r="C80" s="19" t="str">
        <x:v>Supplier Due</x:v>
      </x:c>
      <x:c r="D80" s="19" t="str">
        <x:v>Open /reports/supplier-due as an authorized administrator.</x:v>
      </x:c>
      <x:c r="E80" s="19" t="str">
        <x:v>Authenticate; request /reports/supplier-due; verify HTTP response and rendered Blade output.</x:v>
      </x:c>
      <x:c r="F80" s="19" t="str">
        <x:v>HTTP 200 and usable page output.</x:v>
      </x:c>
      <x:c r="G80" s="19" t="str">
        <x:v>HTTP 200; rendered successfully in the complete screen smoke test.</x:v>
      </x:c>
      <x:c r="H80" s="19" t="str">
        <x:v>PASS</x:v>
      </x:c>
      <x:c r="I80" s="19" t="str">
        <x:v>None</x:v>
      </x:c>
      <x:c r="J80" s="19" t="str">
        <x:v>None</x:v>
      </x:c>
      <x:c r="K80" s="19" t="str">
        <x:v>Not required</x:v>
      </x:c>
      <x:c r="L80" s="19" t="str">
        <x:v>PASS</x:v>
      </x:c>
      <x:c r="M80" s="19" t="str">
        <x:v>PASS</x:v>
      </x:c>
      <x:c r="N80" s="19" t="str">
        <x:v>2026-08-21</x:v>
      </x:c>
    </x:row>
    <x:row r="81">
      <x:c r="A81" s="19" t="str">
        <x:v>UI-042</x:v>
      </x:c>
      <x:c r="B81" s="19" t="str">
        <x:v>Screen Smoke</x:v>
      </x:c>
      <x:c r="C81" s="19" t="str">
        <x:v>Daily Closing</x:v>
      </x:c>
      <x:c r="D81" s="19" t="str">
        <x:v>Open /reports/daily-closing as an authorized administrator.</x:v>
      </x:c>
      <x:c r="E81" s="19" t="str">
        <x:v>Authenticate; request /reports/daily-closing; verify HTTP response and rendered Blade output.</x:v>
      </x:c>
      <x:c r="F81" s="19" t="str">
        <x:v>HTTP 200 and usable page output.</x:v>
      </x:c>
      <x:c r="G81" s="19" t="str">
        <x:v>HTTP 200; rendered successfully in the complete screen smoke test.</x:v>
      </x:c>
      <x:c r="H81" s="19" t="str">
        <x:v>PASS</x:v>
      </x:c>
      <x:c r="I81" s="19" t="str">
        <x:v>None</x:v>
      </x:c>
      <x:c r="J81" s="19" t="str">
        <x:v>None</x:v>
      </x:c>
      <x:c r="K81" s="19" t="str">
        <x:v>Not required</x:v>
      </x:c>
      <x:c r="L81" s="19" t="str">
        <x:v>PASS</x:v>
      </x:c>
      <x:c r="M81" s="19" t="str">
        <x:v>PASS</x:v>
      </x:c>
      <x:c r="N81" s="19" t="str">
        <x:v>2026-08-21</x:v>
      </x:c>
    </x:row>
    <x:row r="82">
      <x:c r="A82" s="19" t="str">
        <x:v>UI-043</x:v>
      </x:c>
      <x:c r="B82" s="19" t="str">
        <x:v>Screen Smoke</x:v>
      </x:c>
      <x:c r="C82" s="19" t="str">
        <x:v>Cheque Report</x:v>
      </x:c>
      <x:c r="D82" s="19" t="str">
        <x:v>Open /reports/cheques as an authorized administrator.</x:v>
      </x:c>
      <x:c r="E82" s="19" t="str">
        <x:v>Authenticate; request /reports/cheques; verify HTTP response and rendered Blade output.</x:v>
      </x:c>
      <x:c r="F82" s="19" t="str">
        <x:v>HTTP 200 and usable page output.</x:v>
      </x:c>
      <x:c r="G82" s="19" t="str">
        <x:v>HTTP 200; rendered successfully in the complete screen smoke test.</x:v>
      </x:c>
      <x:c r="H82" s="19" t="str">
        <x:v>PASS</x:v>
      </x:c>
      <x:c r="I82" s="19" t="str">
        <x:v>None</x:v>
      </x:c>
      <x:c r="J82" s="19" t="str">
        <x:v>None</x:v>
      </x:c>
      <x:c r="K82" s="19" t="str">
        <x:v>Not required</x:v>
      </x:c>
      <x:c r="L82" s="19" t="str">
        <x:v>PASS</x:v>
      </x:c>
      <x:c r="M82" s="19" t="str">
        <x:v>PASS</x:v>
      </x:c>
      <x:c r="N82" s="19" t="str">
        <x:v>2026-08-21</x:v>
      </x:c>
    </x:row>
    <x:row r="83">
      <x:c r="A83" s="19" t="str">
        <x:v>UI-044</x:v>
      </x:c>
      <x:c r="B83" s="19" t="str">
        <x:v>Screen Smoke</x:v>
      </x:c>
      <x:c r="C83" s="19" t="str">
        <x:v>Users</x:v>
      </x:c>
      <x:c r="D83" s="19" t="str">
        <x:v>Open /users as an authorized administrator.</x:v>
      </x:c>
      <x:c r="E83" s="19" t="str">
        <x:v>Authenticate; request /users; verify HTTP response and rendered Blade output.</x:v>
      </x:c>
      <x:c r="F83" s="19" t="str">
        <x:v>HTTP 200 and usable page output.</x:v>
      </x:c>
      <x:c r="G83" s="19" t="str">
        <x:v>HTTP 200; rendered successfully in the complete screen smoke test.</x:v>
      </x:c>
      <x:c r="H83" s="19" t="str">
        <x:v>PASS</x:v>
      </x:c>
      <x:c r="I83" s="19" t="str">
        <x:v>None</x:v>
      </x:c>
      <x:c r="J83" s="19" t="str">
        <x:v>None</x:v>
      </x:c>
      <x:c r="K83" s="19" t="str">
        <x:v>Not required</x:v>
      </x:c>
      <x:c r="L83" s="19" t="str">
        <x:v>PASS</x:v>
      </x:c>
      <x:c r="M83" s="19" t="str">
        <x:v>PASS</x:v>
      </x:c>
      <x:c r="N83" s="19" t="str">
        <x:v>2026-08-21</x:v>
      </x:c>
    </x:row>
    <x:row r="84">
      <x:c r="A84" s="19" t="str">
        <x:v>UI-045</x:v>
      </x:c>
      <x:c r="B84" s="19" t="str">
        <x:v>Screen Smoke</x:v>
      </x:c>
      <x:c r="C84" s="19" t="str">
        <x:v>Roles</x:v>
      </x:c>
      <x:c r="D84" s="19" t="str">
        <x:v>Open /roles as an authorized administrator.</x:v>
      </x:c>
      <x:c r="E84" s="19" t="str">
        <x:v>Authenticate; request /roles; verify HTTP response and rendered Blade output.</x:v>
      </x:c>
      <x:c r="F84" s="19" t="str">
        <x:v>HTTP 200 and usable page output.</x:v>
      </x:c>
      <x:c r="G84" s="19" t="str">
        <x:v>HTTP 200; rendered successfully in the complete screen smoke test.</x:v>
      </x:c>
      <x:c r="H84" s="19" t="str">
        <x:v>PASS</x:v>
      </x:c>
      <x:c r="I84" s="19" t="str">
        <x:v>None</x:v>
      </x:c>
      <x:c r="J84" s="19" t="str">
        <x:v>None</x:v>
      </x:c>
      <x:c r="K84" s="19" t="str">
        <x:v>Not required</x:v>
      </x:c>
      <x:c r="L84" s="19" t="str">
        <x:v>PASS</x:v>
      </x:c>
      <x:c r="M84" s="19" t="str">
        <x:v>PASS</x:v>
      </x:c>
      <x:c r="N84" s="19" t="str">
        <x:v>2026-08-21</x:v>
      </x:c>
    </x:row>
    <x:row r="85">
      <x:c r="A85" s="19" t="str">
        <x:v>UI-046</x:v>
      </x:c>
      <x:c r="B85" s="19" t="str">
        <x:v>Screen Smoke</x:v>
      </x:c>
      <x:c r="C85" s="19" t="str">
        <x:v>Settings</x:v>
      </x:c>
      <x:c r="D85" s="19" t="str">
        <x:v>Open /settings/index as an authorized administrator.</x:v>
      </x:c>
      <x:c r="E85" s="19" t="str">
        <x:v>Authenticate; request /settings/index; verify HTTP response and rendered Blade output.</x:v>
      </x:c>
      <x:c r="F85" s="19" t="str">
        <x:v>HTTP 200 and usable page output.</x:v>
      </x:c>
      <x:c r="G85" s="19" t="str">
        <x:v>HTTP 200; rendered successfully in the complete screen smoke test.</x:v>
      </x:c>
      <x:c r="H85" s="19" t="str">
        <x:v>PASS</x:v>
      </x:c>
      <x:c r="I85" s="19" t="str">
        <x:v>None</x:v>
      </x:c>
      <x:c r="J85" s="19" t="str">
        <x:v>None</x:v>
      </x:c>
      <x:c r="K85" s="19" t="str">
        <x:v>Not required</x:v>
      </x:c>
      <x:c r="L85" s="19" t="str">
        <x:v>PASS</x:v>
      </x:c>
      <x:c r="M85" s="19" t="str">
        <x:v>PASS</x:v>
      </x:c>
      <x:c r="N85" s="19" t="str">
        <x:v>2026-08-21</x:v>
      </x:c>
    </x:row>
    <x:row r="86">
      <x:c r="A86" s="19" t="str">
        <x:v>RSP-001</x:v>
      </x:c>
      <x:c r="B86" s="19" t="str">
        <x:v>Responsive UI</x:v>
      </x:c>
      <x:c r="C86" s="19" t="str">
        <x:v>Dashboard — Desktop</x:v>
      </x:c>
      <x:c r="D86" s="19" t="str">
        <x:v>Render Dashboard at 1440×900.</x:v>
      </x:c>
      <x:c r="E86" s="19" t="str">
        <x:v>Set browser viewport; open page; compare document and viewport widths; inspect screenshot.</x:v>
      </x:c>
      <x:c r="F86" s="19" t="str">
        <x:v>Controls remain usable and no page-level horizontal overflow is introduced.</x:v>
      </x:c>
      <x:c r="G86" s="19" t="str">
        <x:v>Rendered at requested viewport; document width matched viewport width.</x:v>
      </x:c>
      <x:c r="H86" s="19" t="str">
        <x:v>PASS</x:v>
      </x:c>
      <x:c r="I86" s="19" t="str">
        <x:v>None</x:v>
      </x:c>
      <x:c r="J86" s="19" t="str">
        <x:v>None</x:v>
      </x:c>
      <x:c r="K86" s="19" t="str">
        <x:v>Not required</x:v>
      </x:c>
      <x:c r="L86" s="19" t="str">
        <x:v>PASS</x:v>
      </x:c>
      <x:c r="M86" s="19" t="str">
        <x:v>PASS</x:v>
      </x:c>
      <x:c r="N86" s="19" t="str">
        <x:v>2026-08-21</x:v>
      </x:c>
    </x:row>
    <x:row r="87">
      <x:c r="A87" s="19" t="str">
        <x:v>RSP-002</x:v>
      </x:c>
      <x:c r="B87" s="19" t="str">
        <x:v>Responsive UI</x:v>
      </x:c>
      <x:c r="C87" s="19" t="str">
        <x:v>Products — Desktop</x:v>
      </x:c>
      <x:c r="D87" s="19" t="str">
        <x:v>Render Products at 1440×900.</x:v>
      </x:c>
      <x:c r="E87" s="19" t="str">
        <x:v>Set browser viewport; open page; compare document and viewport widths; inspect screenshot.</x:v>
      </x:c>
      <x:c r="F87" s="19" t="str">
        <x:v>Controls remain usable and no page-level horizontal overflow is introduced.</x:v>
      </x:c>
      <x:c r="G87" s="19" t="str">
        <x:v>Rendered at requested viewport; document width matched viewport width.</x:v>
      </x:c>
      <x:c r="H87" s="19" t="str">
        <x:v>PASS</x:v>
      </x:c>
      <x:c r="I87" s="19" t="str">
        <x:v>None</x:v>
      </x:c>
      <x:c r="J87" s="19" t="str">
        <x:v>None</x:v>
      </x:c>
      <x:c r="K87" s="19" t="str">
        <x:v>Not required</x:v>
      </x:c>
      <x:c r="L87" s="19" t="str">
        <x:v>PASS</x:v>
      </x:c>
      <x:c r="M87" s="19" t="str">
        <x:v>PASS</x:v>
      </x:c>
      <x:c r="N87" s="19" t="str">
        <x:v>2026-08-21</x:v>
      </x:c>
    </x:row>
    <x:row r="88">
      <x:c r="A88" s="19" t="str">
        <x:v>RSP-003</x:v>
      </x:c>
      <x:c r="B88" s="19" t="str">
        <x:v>Responsive UI</x:v>
      </x:c>
      <x:c r="C88" s="19" t="str">
        <x:v>Create Product — Desktop</x:v>
      </x:c>
      <x:c r="D88" s="19" t="str">
        <x:v>Render Create Product at 1440×900.</x:v>
      </x:c>
      <x:c r="E88" s="19" t="str">
        <x:v>Set browser viewport; open page; compare document and viewport widths; inspect screenshot.</x:v>
      </x:c>
      <x:c r="F88" s="19" t="str">
        <x:v>Controls remain usable and no page-level horizontal overflow is introduced.</x:v>
      </x:c>
      <x:c r="G88" s="19" t="str">
        <x:v>Rendered at requested viewport; document width matched viewport width.</x:v>
      </x:c>
      <x:c r="H88" s="19" t="str">
        <x:v>PASS</x:v>
      </x:c>
      <x:c r="I88" s="19" t="str">
        <x:v>None</x:v>
      </x:c>
      <x:c r="J88" s="19" t="str">
        <x:v>None</x:v>
      </x:c>
      <x:c r="K88" s="19" t="str">
        <x:v>Not required</x:v>
      </x:c>
      <x:c r="L88" s="19" t="str">
        <x:v>PASS</x:v>
      </x:c>
      <x:c r="M88" s="19" t="str">
        <x:v>PASS</x:v>
      </x:c>
      <x:c r="N88" s="19" t="str">
        <x:v>2026-08-21</x:v>
      </x:c>
    </x:row>
    <x:row r="89">
      <x:c r="A89" s="19" t="str">
        <x:v>RSP-004</x:v>
      </x:c>
      <x:c r="B89" s="19" t="str">
        <x:v>Responsive UI</x:v>
      </x:c>
      <x:c r="C89" s="19" t="str">
        <x:v>Main Inventory — Desktop</x:v>
      </x:c>
      <x:c r="D89" s="19" t="str">
        <x:v>Render Main Inventory at 1440×900.</x:v>
      </x:c>
      <x:c r="E89" s="19" t="str">
        <x:v>Set browser viewport; open page; compare document and viewport widths; inspect screenshot.</x:v>
      </x:c>
      <x:c r="F89" s="19" t="str">
        <x:v>Controls remain usable and no page-level horizontal overflow is introduced.</x:v>
      </x:c>
      <x:c r="G89" s="19" t="str">
        <x:v>Rendered at requested viewport; document width matched viewport width.</x:v>
      </x:c>
      <x:c r="H89" s="19" t="str">
        <x:v>PASS</x:v>
      </x:c>
      <x:c r="I89" s="19" t="str">
        <x:v>None</x:v>
      </x:c>
      <x:c r="J89" s="19" t="str">
        <x:v>None</x:v>
      </x:c>
      <x:c r="K89" s="19" t="str">
        <x:v>Not required</x:v>
      </x:c>
      <x:c r="L89" s="19" t="str">
        <x:v>PASS</x:v>
      </x:c>
      <x:c r="M89" s="19" t="str">
        <x:v>PASS</x:v>
      </x:c>
      <x:c r="N89" s="19" t="str">
        <x:v>2026-08-21</x:v>
      </x:c>
    </x:row>
    <x:row r="90">
      <x:c r="A90" s="19" t="str">
        <x:v>RSP-005</x:v>
      </x:c>
      <x:c r="B90" s="19" t="str">
        <x:v>Responsive UI</x:v>
      </x:c>
      <x:c r="C90" s="19" t="str">
        <x:v>Main POS — Desktop</x:v>
      </x:c>
      <x:c r="D90" s="19" t="str">
        <x:v>Render Main POS at 1440×900.</x:v>
      </x:c>
      <x:c r="E90" s="19" t="str">
        <x:v>Set browser viewport; open page; compare document and viewport widths; inspect screenshot.</x:v>
      </x:c>
      <x:c r="F90" s="19" t="str">
        <x:v>Controls remain usable and no page-level horizontal overflow is introduced.</x:v>
      </x:c>
      <x:c r="G90" s="19" t="str">
        <x:v>Rendered at requested viewport; document width matched viewport width.</x:v>
      </x:c>
      <x:c r="H90" s="19" t="str">
        <x:v>PASS</x:v>
      </x:c>
      <x:c r="I90" s="19" t="str">
        <x:v>None</x:v>
      </x:c>
      <x:c r="J90" s="19" t="str">
        <x:v>None</x:v>
      </x:c>
      <x:c r="K90" s="19" t="str">
        <x:v>Not required</x:v>
      </x:c>
      <x:c r="L90" s="19" t="str">
        <x:v>PASS</x:v>
      </x:c>
      <x:c r="M90" s="19" t="str">
        <x:v>PASS</x:v>
      </x:c>
      <x:c r="N90" s="19" t="str">
        <x:v>2026-08-21</x:v>
      </x:c>
    </x:row>
    <x:row r="91">
      <x:c r="A91" s="19" t="str">
        <x:v>RSP-006</x:v>
      </x:c>
      <x:c r="B91" s="19" t="str">
        <x:v>Responsive UI</x:v>
      </x:c>
      <x:c r="C91" s="19" t="str">
        <x:v>Remnant POS — Desktop</x:v>
      </x:c>
      <x:c r="D91" s="19" t="str">
        <x:v>Render Remnant POS at 1440×900.</x:v>
      </x:c>
      <x:c r="E91" s="19" t="str">
        <x:v>Set browser viewport; open page; compare document and viewport widths; inspect screenshot.</x:v>
      </x:c>
      <x:c r="F91" s="19" t="str">
        <x:v>Controls remain usable and no page-level horizontal overflow is introduced.</x:v>
      </x:c>
      <x:c r="G91" s="19" t="str">
        <x:v>Rendered at requested viewport; document width matched viewport width.</x:v>
      </x:c>
      <x:c r="H91" s="19" t="str">
        <x:v>PASS</x:v>
      </x:c>
      <x:c r="I91" s="19" t="str">
        <x:v>None</x:v>
      </x:c>
      <x:c r="J91" s="19" t="str">
        <x:v>None</x:v>
      </x:c>
      <x:c r="K91" s="19" t="str">
        <x:v>Not required</x:v>
      </x:c>
      <x:c r="L91" s="19" t="str">
        <x:v>PASS</x:v>
      </x:c>
      <x:c r="M91" s="19" t="str">
        <x:v>PASS</x:v>
      </x:c>
      <x:c r="N91" s="19" t="str">
        <x:v>2026-08-21</x:v>
      </x:c>
    </x:row>
    <x:row r="92">
      <x:c r="A92" s="19" t="str">
        <x:v>RSP-007</x:v>
      </x:c>
      <x:c r="B92" s="19" t="str">
        <x:v>Responsive UI</x:v>
      </x:c>
      <x:c r="C92" s="19" t="str">
        <x:v>Dashboard — Tablet</x:v>
      </x:c>
      <x:c r="D92" s="19" t="str">
        <x:v>Render Dashboard at 820×1180.</x:v>
      </x:c>
      <x:c r="E92" s="19" t="str">
        <x:v>Set browser viewport; open page; compare document and viewport widths; inspect screenshot.</x:v>
      </x:c>
      <x:c r="F92" s="19" t="str">
        <x:v>Controls remain usable and no page-level horizontal overflow is introduced.</x:v>
      </x:c>
      <x:c r="G92" s="19" t="str">
        <x:v>Rendered at requested viewport; document width matched viewport width.</x:v>
      </x:c>
      <x:c r="H92" s="19" t="str">
        <x:v>PASS</x:v>
      </x:c>
      <x:c r="I92" s="19" t="str">
        <x:v>None</x:v>
      </x:c>
      <x:c r="J92" s="19" t="str">
        <x:v>None</x:v>
      </x:c>
      <x:c r="K92" s="19" t="str">
        <x:v>Not required</x:v>
      </x:c>
      <x:c r="L92" s="19" t="str">
        <x:v>PASS</x:v>
      </x:c>
      <x:c r="M92" s="19" t="str">
        <x:v>PASS</x:v>
      </x:c>
      <x:c r="N92" s="19" t="str">
        <x:v>2026-08-21</x:v>
      </x:c>
    </x:row>
    <x:row r="93">
      <x:c r="A93" s="19" t="str">
        <x:v>RSP-008</x:v>
      </x:c>
      <x:c r="B93" s="19" t="str">
        <x:v>Responsive UI</x:v>
      </x:c>
      <x:c r="C93" s="19" t="str">
        <x:v>Products — Tablet</x:v>
      </x:c>
      <x:c r="D93" s="19" t="str">
        <x:v>Render Products at 820×1180.</x:v>
      </x:c>
      <x:c r="E93" s="19" t="str">
        <x:v>Set browser viewport; open page; compare document and viewport widths; inspect screenshot.</x:v>
      </x:c>
      <x:c r="F93" s="19" t="str">
        <x:v>Controls remain usable and no page-level horizontal overflow is introduced.</x:v>
      </x:c>
      <x:c r="G93" s="19" t="str">
        <x:v>Rendered at requested viewport; document width matched viewport width.</x:v>
      </x:c>
      <x:c r="H93" s="19" t="str">
        <x:v>PASS</x:v>
      </x:c>
      <x:c r="I93" s="19" t="str">
        <x:v>None</x:v>
      </x:c>
      <x:c r="J93" s="19" t="str">
        <x:v>None</x:v>
      </x:c>
      <x:c r="K93" s="19" t="str">
        <x:v>Not required</x:v>
      </x:c>
      <x:c r="L93" s="19" t="str">
        <x:v>PASS</x:v>
      </x:c>
      <x:c r="M93" s="19" t="str">
        <x:v>PASS</x:v>
      </x:c>
      <x:c r="N93" s="19" t="str">
        <x:v>2026-08-21</x:v>
      </x:c>
    </x:row>
    <x:row r="94">
      <x:c r="A94" s="19" t="str">
        <x:v>RSP-009</x:v>
      </x:c>
      <x:c r="B94" s="19" t="str">
        <x:v>Responsive UI</x:v>
      </x:c>
      <x:c r="C94" s="19" t="str">
        <x:v>Create Product — Tablet</x:v>
      </x:c>
      <x:c r="D94" s="19" t="str">
        <x:v>Render Create Product at 820×1180.</x:v>
      </x:c>
      <x:c r="E94" s="19" t="str">
        <x:v>Set browser viewport; open page; compare document and viewport widths; inspect screenshot.</x:v>
      </x:c>
      <x:c r="F94" s="19" t="str">
        <x:v>Controls remain usable and no page-level horizontal overflow is introduced.</x:v>
      </x:c>
      <x:c r="G94" s="19" t="str">
        <x:v>Rendered at requested viewport; document width matched viewport width.</x:v>
      </x:c>
      <x:c r="H94" s="19" t="str">
        <x:v>PASS</x:v>
      </x:c>
      <x:c r="I94" s="19" t="str">
        <x:v>None</x:v>
      </x:c>
      <x:c r="J94" s="19" t="str">
        <x:v>None</x:v>
      </x:c>
      <x:c r="K94" s="19" t="str">
        <x:v>Not required</x:v>
      </x:c>
      <x:c r="L94" s="19" t="str">
        <x:v>PASS</x:v>
      </x:c>
      <x:c r="M94" s="19" t="str">
        <x:v>PASS</x:v>
      </x:c>
      <x:c r="N94" s="19" t="str">
        <x:v>2026-08-21</x:v>
      </x:c>
    </x:row>
    <x:row r="95">
      <x:c r="A95" s="19" t="str">
        <x:v>RSP-010</x:v>
      </x:c>
      <x:c r="B95" s="19" t="str">
        <x:v>Responsive UI</x:v>
      </x:c>
      <x:c r="C95" s="19" t="str">
        <x:v>Main Inventory — Tablet</x:v>
      </x:c>
      <x:c r="D95" s="19" t="str">
        <x:v>Render Main Inventory at 820×1180.</x:v>
      </x:c>
      <x:c r="E95" s="19" t="str">
        <x:v>Set browser viewport; open page; compare document and viewport widths; inspect screenshot.</x:v>
      </x:c>
      <x:c r="F95" s="19" t="str">
        <x:v>Controls remain usable and no page-level horizontal overflow is introduced.</x:v>
      </x:c>
      <x:c r="G95" s="19" t="str">
        <x:v>Rendered at requested viewport; document width matched viewport width.</x:v>
      </x:c>
      <x:c r="H95" s="19" t="str">
        <x:v>PASS</x:v>
      </x:c>
      <x:c r="I95" s="19" t="str">
        <x:v>None</x:v>
      </x:c>
      <x:c r="J95" s="19" t="str">
        <x:v>None</x:v>
      </x:c>
      <x:c r="K95" s="19" t="str">
        <x:v>Not required</x:v>
      </x:c>
      <x:c r="L95" s="19" t="str">
        <x:v>PASS</x:v>
      </x:c>
      <x:c r="M95" s="19" t="str">
        <x:v>PASS</x:v>
      </x:c>
      <x:c r="N95" s="19" t="str">
        <x:v>2026-08-21</x:v>
      </x:c>
    </x:row>
    <x:row r="96">
      <x:c r="A96" s="19" t="str">
        <x:v>RSP-011</x:v>
      </x:c>
      <x:c r="B96" s="19" t="str">
        <x:v>Responsive UI</x:v>
      </x:c>
      <x:c r="C96" s="19" t="str">
        <x:v>Main POS — Tablet</x:v>
      </x:c>
      <x:c r="D96" s="19" t="str">
        <x:v>Render Main POS at 820×1180.</x:v>
      </x:c>
      <x:c r="E96" s="19" t="str">
        <x:v>Set browser viewport; open page; compare document and viewport widths; inspect screenshot.</x:v>
      </x:c>
      <x:c r="F96" s="19" t="str">
        <x:v>Controls remain usable and no page-level horizontal overflow is introduced.</x:v>
      </x:c>
      <x:c r="G96" s="19" t="str">
        <x:v>Rendered at requested viewport; document width matched viewport width.</x:v>
      </x:c>
      <x:c r="H96" s="19" t="str">
        <x:v>PASS</x:v>
      </x:c>
      <x:c r="I96" s="19" t="str">
        <x:v>None</x:v>
      </x:c>
      <x:c r="J96" s="19" t="str">
        <x:v>None</x:v>
      </x:c>
      <x:c r="K96" s="19" t="str">
        <x:v>Not required</x:v>
      </x:c>
      <x:c r="L96" s="19" t="str">
        <x:v>PASS</x:v>
      </x:c>
      <x:c r="M96" s="19" t="str">
        <x:v>PASS</x:v>
      </x:c>
      <x:c r="N96" s="19" t="str">
        <x:v>2026-08-21</x:v>
      </x:c>
    </x:row>
    <x:row r="97">
      <x:c r="A97" s="19" t="str">
        <x:v>RSP-012</x:v>
      </x:c>
      <x:c r="B97" s="19" t="str">
        <x:v>Responsive UI</x:v>
      </x:c>
      <x:c r="C97" s="19" t="str">
        <x:v>Remnant POS — Tablet</x:v>
      </x:c>
      <x:c r="D97" s="19" t="str">
        <x:v>Render Remnant POS at 820×1180.</x:v>
      </x:c>
      <x:c r="E97" s="19" t="str">
        <x:v>Set browser viewport; open page; compare document and viewport widths; inspect screenshot.</x:v>
      </x:c>
      <x:c r="F97" s="19" t="str">
        <x:v>Controls remain usable and no page-level horizontal overflow is introduced.</x:v>
      </x:c>
      <x:c r="G97" s="19" t="str">
        <x:v>Rendered at requested viewport; document width matched viewport width.</x:v>
      </x:c>
      <x:c r="H97" s="19" t="str">
        <x:v>PASS</x:v>
      </x:c>
      <x:c r="I97" s="19" t="str">
        <x:v>None</x:v>
      </x:c>
      <x:c r="J97" s="19" t="str">
        <x:v>None</x:v>
      </x:c>
      <x:c r="K97" s="19" t="str">
        <x:v>Not required</x:v>
      </x:c>
      <x:c r="L97" s="19" t="str">
        <x:v>PASS</x:v>
      </x:c>
      <x:c r="M97" s="19" t="str">
        <x:v>PASS</x:v>
      </x:c>
      <x:c r="N97" s="19" t="str">
        <x:v>2026-08-21</x:v>
      </x:c>
    </x:row>
    <x:row r="98">
      <x:c r="A98" s="19" t="str">
        <x:v>RSP-013</x:v>
      </x:c>
      <x:c r="B98" s="19" t="str">
        <x:v>Responsive UI</x:v>
      </x:c>
      <x:c r="C98" s="19" t="str">
        <x:v>Dashboard — Mobile</x:v>
      </x:c>
      <x:c r="D98" s="19" t="str">
        <x:v>Render Dashboard at 390×844.</x:v>
      </x:c>
      <x:c r="E98" s="19" t="str">
        <x:v>Set browser viewport; open page; compare document and viewport widths; inspect screenshot.</x:v>
      </x:c>
      <x:c r="F98" s="19" t="str">
        <x:v>Controls remain usable and no page-level horizontal overflow is introduced.</x:v>
      </x:c>
      <x:c r="G98" s="19" t="str">
        <x:v>Rendered at requested viewport; document width matched viewport width.</x:v>
      </x:c>
      <x:c r="H98" s="19" t="str">
        <x:v>PASS</x:v>
      </x:c>
      <x:c r="I98" s="19" t="str">
        <x:v>None</x:v>
      </x:c>
      <x:c r="J98" s="19" t="str">
        <x:v>None</x:v>
      </x:c>
      <x:c r="K98" s="19" t="str">
        <x:v>Not required</x:v>
      </x:c>
      <x:c r="L98" s="19" t="str">
        <x:v>PASS</x:v>
      </x:c>
      <x:c r="M98" s="19" t="str">
        <x:v>PASS</x:v>
      </x:c>
      <x:c r="N98" s="19" t="str">
        <x:v>2026-08-21</x:v>
      </x:c>
    </x:row>
    <x:row r="99">
      <x:c r="A99" s="19" t="str">
        <x:v>RSP-014</x:v>
      </x:c>
      <x:c r="B99" s="19" t="str">
        <x:v>Responsive UI</x:v>
      </x:c>
      <x:c r="C99" s="19" t="str">
        <x:v>Products — Mobile</x:v>
      </x:c>
      <x:c r="D99" s="19" t="str">
        <x:v>Render Products at 390×844.</x:v>
      </x:c>
      <x:c r="E99" s="19" t="str">
        <x:v>Set browser viewport; open page; compare document and viewport widths; inspect screenshot.</x:v>
      </x:c>
      <x:c r="F99" s="19" t="str">
        <x:v>Controls remain usable and no page-level horizontal overflow is introduced.</x:v>
      </x:c>
      <x:c r="G99" s="19" t="str">
        <x:v>Rendered at requested viewport; document width matched viewport width.</x:v>
      </x:c>
      <x:c r="H99" s="19" t="str">
        <x:v>PASS</x:v>
      </x:c>
      <x:c r="I99" s="19" t="str">
        <x:v>None</x:v>
      </x:c>
      <x:c r="J99" s="19" t="str">
        <x:v>None</x:v>
      </x:c>
      <x:c r="K99" s="19" t="str">
        <x:v>Not required</x:v>
      </x:c>
      <x:c r="L99" s="19" t="str">
        <x:v>PASS</x:v>
      </x:c>
      <x:c r="M99" s="19" t="str">
        <x:v>PASS</x:v>
      </x:c>
      <x:c r="N99" s="19" t="str">
        <x:v>2026-08-21</x:v>
      </x:c>
    </x:row>
    <x:row r="100">
      <x:c r="A100" s="19" t="str">
        <x:v>RSP-015</x:v>
      </x:c>
      <x:c r="B100" s="19" t="str">
        <x:v>Responsive UI</x:v>
      </x:c>
      <x:c r="C100" s="19" t="str">
        <x:v>Create Product — Mobile</x:v>
      </x:c>
      <x:c r="D100" s="19" t="str">
        <x:v>Render Create Product at 390×844.</x:v>
      </x:c>
      <x:c r="E100" s="19" t="str">
        <x:v>Set browser viewport; open page; compare document and viewport widths; inspect screenshot.</x:v>
      </x:c>
      <x:c r="F100" s="19" t="str">
        <x:v>Controls remain usable and no page-level horizontal overflow is introduced.</x:v>
      </x:c>
      <x:c r="G100" s="19" t="str">
        <x:v>Rendered at requested viewport; document width matched viewport width.</x:v>
      </x:c>
      <x:c r="H100" s="19" t="str">
        <x:v>PASS</x:v>
      </x:c>
      <x:c r="I100" s="19" t="str">
        <x:v>None</x:v>
      </x:c>
      <x:c r="J100" s="19" t="str">
        <x:v>None</x:v>
      </x:c>
      <x:c r="K100" s="19" t="str">
        <x:v>Not required</x:v>
      </x:c>
      <x:c r="L100" s="19" t="str">
        <x:v>PASS</x:v>
      </x:c>
      <x:c r="M100" s="19" t="str">
        <x:v>PASS</x:v>
      </x:c>
      <x:c r="N100" s="19" t="str">
        <x:v>2026-08-21</x:v>
      </x:c>
    </x:row>
    <x:row r="101">
      <x:c r="A101" s="19" t="str">
        <x:v>RSP-016</x:v>
      </x:c>
      <x:c r="B101" s="19" t="str">
        <x:v>Responsive UI</x:v>
      </x:c>
      <x:c r="C101" s="19" t="str">
        <x:v>Main Inventory — Mobile</x:v>
      </x:c>
      <x:c r="D101" s="19" t="str">
        <x:v>Render Main Inventory at 390×844.</x:v>
      </x:c>
      <x:c r="E101" s="19" t="str">
        <x:v>Set browser viewport; open page; compare document and viewport widths; inspect screenshot.</x:v>
      </x:c>
      <x:c r="F101" s="19" t="str">
        <x:v>Controls remain usable and no page-level horizontal overflow is introduced.</x:v>
      </x:c>
      <x:c r="G101" s="19" t="str">
        <x:v>Rendered at requested viewport; document width matched viewport width.</x:v>
      </x:c>
      <x:c r="H101" s="19" t="str">
        <x:v>PASS</x:v>
      </x:c>
      <x:c r="I101" s="19" t="str">
        <x:v>None</x:v>
      </x:c>
      <x:c r="J101" s="19" t="str">
        <x:v>None</x:v>
      </x:c>
      <x:c r="K101" s="19" t="str">
        <x:v>Not required</x:v>
      </x:c>
      <x:c r="L101" s="19" t="str">
        <x:v>PASS</x:v>
      </x:c>
      <x:c r="M101" s="19" t="str">
        <x:v>PASS</x:v>
      </x:c>
      <x:c r="N101" s="19" t="str">
        <x:v>2026-08-21</x:v>
      </x:c>
    </x:row>
    <x:row r="102">
      <x:c r="A102" s="19" t="str">
        <x:v>RSP-017</x:v>
      </x:c>
      <x:c r="B102" s="19" t="str">
        <x:v>Responsive UI</x:v>
      </x:c>
      <x:c r="C102" s="19" t="str">
        <x:v>Main POS — Mobile</x:v>
      </x:c>
      <x:c r="D102" s="19" t="str">
        <x:v>Render Main POS at 390×844.</x:v>
      </x:c>
      <x:c r="E102" s="19" t="str">
        <x:v>Set browser viewport; open page; compare document and viewport widths; inspect screenshot.</x:v>
      </x:c>
      <x:c r="F102" s="19" t="str">
        <x:v>Controls remain usable and no page-level horizontal overflow is introduced.</x:v>
      </x:c>
      <x:c r="G102" s="19" t="str">
        <x:v>Rendered at requested viewport; document width matched viewport width.</x:v>
      </x:c>
      <x:c r="H102" s="19" t="str">
        <x:v>PASS</x:v>
      </x:c>
      <x:c r="I102" s="19" t="str">
        <x:v>None</x:v>
      </x:c>
      <x:c r="J102" s="19" t="str">
        <x:v>None</x:v>
      </x:c>
      <x:c r="K102" s="19" t="str">
        <x:v>Not required</x:v>
      </x:c>
      <x:c r="L102" s="19" t="str">
        <x:v>PASS</x:v>
      </x:c>
      <x:c r="M102" s="19" t="str">
        <x:v>PASS</x:v>
      </x:c>
      <x:c r="N102" s="19" t="str">
        <x:v>2026-08-21</x:v>
      </x:c>
    </x:row>
    <x:row r="103">
      <x:c r="A103" s="19" t="str">
        <x:v>RSP-018</x:v>
      </x:c>
      <x:c r="B103" s="19" t="str">
        <x:v>Responsive UI</x:v>
      </x:c>
      <x:c r="C103" s="19" t="str">
        <x:v>Remnant POS — Mobile</x:v>
      </x:c>
      <x:c r="D103" s="19" t="str">
        <x:v>Render Remnant POS at 390×844.</x:v>
      </x:c>
      <x:c r="E103" s="19" t="str">
        <x:v>Set browser viewport; open page; compare document and viewport widths; inspect screenshot.</x:v>
      </x:c>
      <x:c r="F103" s="19" t="str">
        <x:v>Controls remain usable and no page-level horizontal overflow is introduced.</x:v>
      </x:c>
      <x:c r="G103" s="19" t="str">
        <x:v>Rendered at requested viewport; document width matched viewport width.</x:v>
      </x:c>
      <x:c r="H103" s="19" t="str">
        <x:v>PASS</x:v>
      </x:c>
      <x:c r="I103" s="19" t="str">
        <x:v>None</x:v>
      </x:c>
      <x:c r="J103" s="19" t="str">
        <x:v>None</x:v>
      </x:c>
      <x:c r="K103" s="19" t="str">
        <x:v>Not required</x:v>
      </x:c>
      <x:c r="L103" s="19" t="str">
        <x:v>PASS</x:v>
      </x:c>
      <x:c r="M103" s="19" t="str">
        <x:v>PASS</x:v>
      </x:c>
      <x:c r="N103" s="19" t="str">
        <x:v>2026-08-21</x:v>
      </x:c>
    </x:row>
    <x:row r="104">
      <x:c r="A104" s="19" t="str">
        <x:v>DB-001</x:v>
      </x:c>
      <x:c r="B104" s="19" t="str">
        <x:v>Database Integrity</x:v>
      </x:c>
      <x:c r="C104" s="19" t="str">
        <x:v>Negative inventory balances</x:v>
      </x:c>
      <x:c r="D104" s="19" t="str">
        <x:v>Query live production-like database for negative inventory balances.</x:v>
      </x:c>
      <x:c r="E104" s="19" t="str">
        <x:v>Run a read-only aggregate consistency query.</x:v>
      </x:c>
      <x:c r="F104" s="19" t="str">
        <x:v>Exception count is zero.</x:v>
      </x:c>
      <x:c r="G104" s="19" t="str">
        <x:v>Exceptions found: 0.</x:v>
      </x:c>
      <x:c r="H104" s="19" t="str">
        <x:v>PASS</x:v>
      </x:c>
      <x:c r="I104" s="19" t="str">
        <x:v>None</x:v>
      </x:c>
      <x:c r="J104" s="19" t="str">
        <x:v>None</x:v>
      </x:c>
      <x:c r="K104" s="19" t="str">
        <x:v>Not required</x:v>
      </x:c>
      <x:c r="L104" s="19" t="str">
        <x:v>PASS</x:v>
      </x:c>
      <x:c r="M104" s="19" t="str">
        <x:v>PASS</x:v>
      </x:c>
      <x:c r="N104" s="19" t="str">
        <x:v>2026-08-21</x:v>
      </x:c>
    </x:row>
    <x:row r="105">
      <x:c r="A105" s="19" t="str">
        <x:v>DB-002</x:v>
      </x:c>
      <x:c r="B105" s="19" t="str">
        <x:v>Database Integrity</x:v>
      </x:c>
      <x:c r="C105" s="19" t="str">
        <x:v>Remnant quantity above original</x:v>
      </x:c>
      <x:c r="D105" s="19" t="str">
        <x:v>Query live production-like database for remnant quantity above original.</x:v>
      </x:c>
      <x:c r="E105" s="19" t="str">
        <x:v>Run a read-only aggregate consistency query.</x:v>
      </x:c>
      <x:c r="F105" s="19" t="str">
        <x:v>Exception count is zero.</x:v>
      </x:c>
      <x:c r="G105" s="19" t="str">
        <x:v>Exceptions found: 0.</x:v>
      </x:c>
      <x:c r="H105" s="19" t="str">
        <x:v>PASS</x:v>
      </x:c>
      <x:c r="I105" s="19" t="str">
        <x:v>None</x:v>
      </x:c>
      <x:c r="J105" s="19" t="str">
        <x:v>None</x:v>
      </x:c>
      <x:c r="K105" s="19" t="str">
        <x:v>Not required</x:v>
      </x:c>
      <x:c r="L105" s="19" t="str">
        <x:v>PASS</x:v>
      </x:c>
      <x:c r="M105" s="19" t="str">
        <x:v>PASS</x:v>
      </x:c>
      <x:c r="N105" s="19" t="str">
        <x:v>2026-08-21</x:v>
      </x:c>
    </x:row>
    <x:row r="106">
      <x:c r="A106" s="19" t="str">
        <x:v>DB-003</x:v>
      </x:c>
      <x:c r="B106" s="19" t="str">
        <x:v>Database Integrity</x:v>
      </x:c>
      <x:c r="C106" s="19" t="str">
        <x:v>Negative remnant quantity</x:v>
      </x:c>
      <x:c r="D106" s="19" t="str">
        <x:v>Query live production-like database for negative remnant quantity.</x:v>
      </x:c>
      <x:c r="E106" s="19" t="str">
        <x:v>Run a read-only aggregate consistency query.</x:v>
      </x:c>
      <x:c r="F106" s="19" t="str">
        <x:v>Exception count is zero.</x:v>
      </x:c>
      <x:c r="G106" s="19" t="str">
        <x:v>Exceptions found: 0.</x:v>
      </x:c>
      <x:c r="H106" s="19" t="str">
        <x:v>PASS</x:v>
      </x:c>
      <x:c r="I106" s="19" t="str">
        <x:v>None</x:v>
      </x:c>
      <x:c r="J106" s="19" t="str">
        <x:v>None</x:v>
      </x:c>
      <x:c r="K106" s="19" t="str">
        <x:v>Not required</x:v>
      </x:c>
      <x:c r="L106" s="19" t="str">
        <x:v>PASS</x:v>
      </x:c>
      <x:c r="M106" s="19" t="str">
        <x:v>PASS</x:v>
      </x:c>
      <x:c r="N106" s="19" t="str">
        <x:v>2026-08-21</x:v>
      </x:c>
    </x:row>
    <x:row r="107">
      <x:c r="A107" s="19" t="str">
        <x:v>DB-004</x:v>
      </x:c>
      <x:c r="B107" s="19" t="str">
        <x:v>Database Integrity</x:v>
      </x:c>
      <x:c r="C107" s="19" t="str">
        <x:v>Orphan sale items</x:v>
      </x:c>
      <x:c r="D107" s="19" t="str">
        <x:v>Query live production-like database for orphan sale items.</x:v>
      </x:c>
      <x:c r="E107" s="19" t="str">
        <x:v>Run a read-only aggregate consistency query.</x:v>
      </x:c>
      <x:c r="F107" s="19" t="str">
        <x:v>Exception count is zero.</x:v>
      </x:c>
      <x:c r="G107" s="19" t="str">
        <x:v>Exceptions found: 0.</x:v>
      </x:c>
      <x:c r="H107" s="19" t="str">
        <x:v>PASS</x:v>
      </x:c>
      <x:c r="I107" s="19" t="str">
        <x:v>None</x:v>
      </x:c>
      <x:c r="J107" s="19" t="str">
        <x:v>None</x:v>
      </x:c>
      <x:c r="K107" s="19" t="str">
        <x:v>Not required</x:v>
      </x:c>
      <x:c r="L107" s="19" t="str">
        <x:v>PASS</x:v>
      </x:c>
      <x:c r="M107" s="19" t="str">
        <x:v>PASS</x:v>
      </x:c>
      <x:c r="N107" s="19" t="str">
        <x:v>2026-08-21</x:v>
      </x:c>
    </x:row>
    <x:row r="108">
      <x:c r="A108" s="19" t="str">
        <x:v>DB-005</x:v>
      </x:c>
      <x:c r="B108" s="19" t="str">
        <x:v>Database Integrity</x:v>
      </x:c>
      <x:c r="C108" s="19" t="str">
        <x:v>Orphan purchase items</x:v>
      </x:c>
      <x:c r="D108" s="19" t="str">
        <x:v>Query live production-like database for orphan purchase items.</x:v>
      </x:c>
      <x:c r="E108" s="19" t="str">
        <x:v>Run a read-only aggregate consistency query.</x:v>
      </x:c>
      <x:c r="F108" s="19" t="str">
        <x:v>Exception count is zero.</x:v>
      </x:c>
      <x:c r="G108" s="19" t="str">
        <x:v>Exceptions found: 0.</x:v>
      </x:c>
      <x:c r="H108" s="19" t="str">
        <x:v>PASS</x:v>
      </x:c>
      <x:c r="I108" s="19" t="str">
        <x:v>None</x:v>
      </x:c>
      <x:c r="J108" s="19" t="str">
        <x:v>None</x:v>
      </x:c>
      <x:c r="K108" s="19" t="str">
        <x:v>Not required</x:v>
      </x:c>
      <x:c r="L108" s="19" t="str">
        <x:v>PASS</x:v>
      </x:c>
      <x:c r="M108" s="19" t="str">
        <x:v>PASS</x:v>
      </x:c>
      <x:c r="N108" s="19" t="str">
        <x:v>2026-08-21</x:v>
      </x:c>
    </x:row>
    <x:row r="109">
      <x:c r="A109" s="19" t="str">
        <x:v>DB-006</x:v>
      </x:c>
      <x:c r="B109" s="19" t="str">
        <x:v>Database Integrity</x:v>
      </x:c>
      <x:c r="C109" s="19" t="str">
        <x:v>Duplicate inventory balance keys</x:v>
      </x:c>
      <x:c r="D109" s="19" t="str">
        <x:v>Query live production-like database for duplicate inventory balance keys.</x:v>
      </x:c>
      <x:c r="E109" s="19" t="str">
        <x:v>Run a read-only aggregate consistency query.</x:v>
      </x:c>
      <x:c r="F109" s="19" t="str">
        <x:v>Exception count is zero.</x:v>
      </x:c>
      <x:c r="G109" s="19" t="str">
        <x:v>Exceptions found: 0.</x:v>
      </x:c>
      <x:c r="H109" s="19" t="str">
        <x:v>PASS</x:v>
      </x:c>
      <x:c r="I109" s="19" t="str">
        <x:v>None</x:v>
      </x:c>
      <x:c r="J109" s="19" t="str">
        <x:v>None</x:v>
      </x:c>
      <x:c r="K109" s="19" t="str">
        <x:v>Not required</x:v>
      </x:c>
      <x:c r="L109" s="19" t="str">
        <x:v>PASS</x:v>
      </x:c>
      <x:c r="M109" s="19" t="str">
        <x:v>PASS</x:v>
      </x:c>
      <x:c r="N109" s="19" t="str">
        <x:v>2026-08-21</x:v>
      </x:c>
    </x:row>
    <x:row r="110">
      <x:c r="A110" s="19" t="str">
        <x:v>DB-007</x:v>
      </x:c>
      <x:c r="B110" s="19" t="str">
        <x:v>Database Integrity</x:v>
      </x:c>
      <x:c r="C110" s="19" t="str">
        <x:v>Duplicate product barcodes</x:v>
      </x:c>
      <x:c r="D110" s="19" t="str">
        <x:v>Query live production-like database for duplicate product barcodes.</x:v>
      </x:c>
      <x:c r="E110" s="19" t="str">
        <x:v>Run a read-only aggregate consistency query.</x:v>
      </x:c>
      <x:c r="F110" s="19" t="str">
        <x:v>Exception count is zero.</x:v>
      </x:c>
      <x:c r="G110" s="19" t="str">
        <x:v>Exceptions found: 0.</x:v>
      </x:c>
      <x:c r="H110" s="19" t="str">
        <x:v>PASS</x:v>
      </x:c>
      <x:c r="I110" s="19" t="str">
        <x:v>None</x:v>
      </x:c>
      <x:c r="J110" s="19" t="str">
        <x:v>None</x:v>
      </x:c>
      <x:c r="K110" s="19" t="str">
        <x:v>Not required</x:v>
      </x:c>
      <x:c r="L110" s="19" t="str">
        <x:v>PASS</x:v>
      </x:c>
      <x:c r="M110" s="19" t="str">
        <x:v>PASS</x:v>
      </x:c>
      <x:c r="N110" s="19" t="str">
        <x:v>2026-08-21</x:v>
      </x:c>
    </x:row>
    <x:row r="111">
      <x:c r="A111" s="19" t="str">
        <x:v>DB-008</x:v>
      </x:c>
      <x:c r="B111" s="19" t="str">
        <x:v>Database Integrity</x:v>
      </x:c>
      <x:c r="C111" s="19" t="str">
        <x:v>Duplicate sale idempotency keys</x:v>
      </x:c>
      <x:c r="D111" s="19" t="str">
        <x:v>Query live production-like database for duplicate sale idempotency keys.</x:v>
      </x:c>
      <x:c r="E111" s="19" t="str">
        <x:v>Run a read-only aggregate consistency query.</x:v>
      </x:c>
      <x:c r="F111" s="19" t="str">
        <x:v>Exception count is zero.</x:v>
      </x:c>
      <x:c r="G111" s="19" t="str">
        <x:v>Exceptions found: 0.</x:v>
      </x:c>
      <x:c r="H111" s="19" t="str">
        <x:v>PASS</x:v>
      </x:c>
      <x:c r="I111" s="19" t="str">
        <x:v>None</x:v>
      </x:c>
      <x:c r="J111" s="19" t="str">
        <x:v>None</x:v>
      </x:c>
      <x:c r="K111" s="19" t="str">
        <x:v>Not required</x:v>
      </x:c>
      <x:c r="L111" s="19" t="str">
        <x:v>PASS</x:v>
      </x:c>
      <x:c r="M111" s="19" t="str">
        <x:v>PASS</x:v>
      </x:c>
      <x:c r="N111" s="19" t="str">
        <x:v>2026-08-21</x:v>
      </x:c>
    </x:row>
    <x:row r="112">
      <x:c r="A112" s="19" t="str">
        <x:v>DB-009</x:v>
      </x:c>
      <x:c r="B112" s="19" t="str">
        <x:v>Database Integrity</x:v>
      </x:c>
      <x:c r="C112" s="19" t="str">
        <x:v>Sale total equation mismatches</x:v>
      </x:c>
      <x:c r="D112" s="19" t="str">
        <x:v>Query live production-like database for sale total equation mismatches.</x:v>
      </x:c>
      <x:c r="E112" s="19" t="str">
        <x:v>Run a read-only aggregate consistency query.</x:v>
      </x:c>
      <x:c r="F112" s="19" t="str">
        <x:v>Exception count is zero.</x:v>
      </x:c>
      <x:c r="G112" s="19" t="str">
        <x:v>Exceptions found: 0.</x:v>
      </x:c>
      <x:c r="H112" s="19" t="str">
        <x:v>PASS</x:v>
      </x:c>
      <x:c r="I112" s="19" t="str">
        <x:v>None</x:v>
      </x:c>
      <x:c r="J112" s="19" t="str">
        <x:v>None</x:v>
      </x:c>
      <x:c r="K112" s="19" t="str">
        <x:v>Not required</x:v>
      </x:c>
      <x:c r="L112" s="19" t="str">
        <x:v>PASS</x:v>
      </x:c>
      <x:c r="M112" s="19" t="str">
        <x:v>PASS</x:v>
      </x:c>
      <x:c r="N112" s="19" t="str">
        <x:v>2026-08-21</x:v>
      </x:c>
    </x:row>
    <x:row r="113">
      <x:c r="A113" s="19" t="str">
        <x:v>DB-010</x:v>
      </x:c>
      <x:c r="B113" s="19" t="str">
        <x:v>Database Integrity</x:v>
      </x:c>
      <x:c r="C113" s="19" t="str">
        <x:v>Paid above invoice without credit handling</x:v>
      </x:c>
      <x:c r="D113" s="19" t="str">
        <x:v>Query live production-like database for paid above invoice without credit handling.</x:v>
      </x:c>
      <x:c r="E113" s="19" t="str">
        <x:v>Run a read-only aggregate consistency query.</x:v>
      </x:c>
      <x:c r="F113" s="19" t="str">
        <x:v>Exception count is zero.</x:v>
      </x:c>
      <x:c r="G113" s="19" t="str">
        <x:v>Exceptions found: 0.</x:v>
      </x:c>
      <x:c r="H113" s="19" t="str">
        <x:v>PASS</x:v>
      </x:c>
      <x:c r="I113" s="19" t="str">
        <x:v>None</x:v>
      </x:c>
      <x:c r="J113" s="19" t="str">
        <x:v>None</x:v>
      </x:c>
      <x:c r="K113" s="19" t="str">
        <x:v>Not required</x:v>
      </x:c>
      <x:c r="L113" s="19" t="str">
        <x:v>PASS</x:v>
      </x:c>
      <x:c r="M113" s="19" t="str">
        <x:v>PASS</x:v>
      </x:c>
      <x:c r="N113" s="19" t="str">
        <x:v>2026-08-21</x:v>
      </x:c>
    </x:row>
    <x:row r="114">
      <x:c r="A114" s="19" t="str">
        <x:v>SEC-001</x:v>
      </x:c>
      <x:c r="B114" s="19" t="str">
        <x:v>Security &amp; Production</x:v>
      </x:c>
      <x:c r="C114" s="19" t="str">
        <x:v>Composer dependency audit</x:v>
      </x:c>
      <x:c r="D114" s="19" t="str">
        <x:v>Composer dependency audit</x:v>
      </x:c>
      <x:c r="E114" s="19" t="str">
        <x:v>Run the relevant static, dependency, feature, or browser check.</x:v>
      </x:c>
      <x:c r="F114" s="19" t="str">
        <x:v>No high/critical security failure.</x:v>
      </x:c>
      <x:c r="G114" s="19" t="str">
        <x:v>No security vulnerability advisories found.</x:v>
      </x:c>
      <x:c r="H114" s="19" t="str">
        <x:v>PASS</x:v>
      </x:c>
      <x:c r="I114" s="19" t="str">
        <x:v>None</x:v>
      </x:c>
      <x:c r="J114" s="19" t="str">
        <x:v>None</x:v>
      </x:c>
      <x:c r="K114" s="19" t="str">
        <x:v>Not required</x:v>
      </x:c>
      <x:c r="L114" s="19" t="str">
        <x:v>PASS</x:v>
      </x:c>
      <x:c r="M114" s="19" t="str">
        <x:v>PASS</x:v>
      </x:c>
      <x:c r="N114" s="19" t="str">
        <x:v>2026-08-21</x:v>
      </x:c>
    </x:row>
    <x:row r="115">
      <x:c r="A115" s="19" t="str">
        <x:v>SEC-002</x:v>
      </x:c>
      <x:c r="B115" s="19" t="str">
        <x:v>Security &amp; Production</x:v>
      </x:c>
      <x:c r="C115" s="19" t="str">
        <x:v>npm dependency audit</x:v>
      </x:c>
      <x:c r="D115" s="19" t="str">
        <x:v>npm dependency audit</x:v>
      </x:c>
      <x:c r="E115" s="19" t="str">
        <x:v>Run the relevant static, dependency, feature, or browser check.</x:v>
      </x:c>
      <x:c r="F115" s="19" t="str">
        <x:v>No high/critical security failure.</x:v>
      </x:c>
      <x:c r="G115" s="19" t="str">
        <x:v>0 vulnerabilities.</x:v>
      </x:c>
      <x:c r="H115" s="19" t="str">
        <x:v>PASS</x:v>
      </x:c>
      <x:c r="I115" s="19" t="str">
        <x:v>None</x:v>
      </x:c>
      <x:c r="J115" s="19" t="str">
        <x:v>None</x:v>
      </x:c>
      <x:c r="K115" s="19" t="str">
        <x:v>Not required</x:v>
      </x:c>
      <x:c r="L115" s="19" t="str">
        <x:v>PASS</x:v>
      </x:c>
      <x:c r="M115" s="19" t="str">
        <x:v>PASS</x:v>
      </x:c>
      <x:c r="N115" s="19" t="str">
        <x:v>2026-08-21</x:v>
      </x:c>
    </x:row>
    <x:row r="116">
      <x:c r="A116" s="19" t="str">
        <x:v>SEC-003</x:v>
      </x:c>
      <x:c r="B116" s="19" t="str">
        <x:v>Security &amp; Production</x:v>
      </x:c>
      <x:c r="C116" s="19" t="str">
        <x:v>CSRF middleware</x:v>
      </x:c>
      <x:c r="D116" s="19" t="str">
        <x:v>CSRF middleware</x:v>
      </x:c>
      <x:c r="E116" s="19" t="str">
        <x:v>Run the relevant static, dependency, feature, or browser check.</x:v>
      </x:c>
      <x:c r="F116" s="19" t="str">
        <x:v>No high/critical security failure.</x:v>
      </x:c>
      <x:c r="G116" s="19" t="str">
        <x:v>Protected form routes use the web middleware stack.</x:v>
      </x:c>
      <x:c r="H116" s="19" t="str">
        <x:v>PASS</x:v>
      </x:c>
      <x:c r="I116" s="19" t="str">
        <x:v>None</x:v>
      </x:c>
      <x:c r="J116" s="19" t="str">
        <x:v>None</x:v>
      </x:c>
      <x:c r="K116" s="19" t="str">
        <x:v>Not required</x:v>
      </x:c>
      <x:c r="L116" s="19" t="str">
        <x:v>PASS</x:v>
      </x:c>
      <x:c r="M116" s="19" t="str">
        <x:v>PASS</x:v>
      </x:c>
      <x:c r="N116" s="19" t="str">
        <x:v>2026-08-21</x:v>
      </x:c>
    </x:row>
    <x:row r="117">
      <x:c r="A117" s="19" t="str">
        <x:v>SEC-004</x:v>
      </x:c>
      <x:c r="B117" s="19" t="str">
        <x:v>Security &amp; Production</x:v>
      </x:c>
      <x:c r="C117" s="19" t="str">
        <x:v>Authorization direct URL checks</x:v>
      </x:c>
      <x:c r="D117" s="19" t="str">
        <x:v>Authorization direct URL checks</x:v>
      </x:c>
      <x:c r="E117" s="19" t="str">
        <x:v>Run the relevant static, dependency, feature, or browser check.</x:v>
      </x:c>
      <x:c r="F117" s="19" t="str">
        <x:v>No high/critical security failure.</x:v>
      </x:c>
      <x:c r="G117" s="19" t="str">
        <x:v>Unauthorized routes returned HTTP 403.</x:v>
      </x:c>
      <x:c r="H117" s="19" t="str">
        <x:v>PASS</x:v>
      </x:c>
      <x:c r="I117" s="19" t="str">
        <x:v>None</x:v>
      </x:c>
      <x:c r="J117" s="19" t="str">
        <x:v>None</x:v>
      </x:c>
      <x:c r="K117" s="19" t="str">
        <x:v>Not required</x:v>
      </x:c>
      <x:c r="L117" s="19" t="str">
        <x:v>PASS</x:v>
      </x:c>
      <x:c r="M117" s="19" t="str">
        <x:v>PASS</x:v>
      </x:c>
      <x:c r="N117" s="19" t="str">
        <x:v>2026-08-21</x:v>
      </x:c>
    </x:row>
    <x:row r="118">
      <x:c r="A118" s="19" t="str">
        <x:v>SEC-005</x:v>
      </x:c>
      <x:c r="B118" s="19" t="str">
        <x:v>Security &amp; Production</x:v>
      </x:c>
      <x:c r="C118" s="19" t="str">
        <x:v>CSP-safe Alpine runtime</x:v>
      </x:c>
      <x:c r="D118" s="19" t="str">
        <x:v>CSP-safe Alpine runtime</x:v>
      </x:c>
      <x:c r="E118" s="19" t="str">
        <x:v>Run the relevant static, dependency, feature, or browser check.</x:v>
      </x:c>
      <x:c r="F118" s="19" t="str">
        <x:v>No high/critical security failure.</x:v>
      </x:c>
      <x:c r="G118" s="19" t="str">
        <x:v>No eval or browser console errors during the final sweep.</x:v>
      </x:c>
      <x:c r="H118" s="19" t="str">
        <x:v>PASS</x:v>
      </x:c>
      <x:c r="I118" s="19" t="str">
        <x:v>None</x:v>
      </x:c>
      <x:c r="J118" s="19" t="str">
        <x:v>None</x:v>
      </x:c>
      <x:c r="K118" s="19" t="str">
        <x:v>Not required</x:v>
      </x:c>
      <x:c r="L118" s="19" t="str">
        <x:v>PASS</x:v>
      </x:c>
      <x:c r="M118" s="19" t="str">
        <x:v>PASS</x:v>
      </x:c>
      <x:c r="N118" s="19" t="str">
        <x:v>2026-08-21</x:v>
      </x:c>
    </x:row>
    <x:row r="119">
      <x:c r="A119" s="19" t="str">
        <x:v>SEC-006</x:v>
      </x:c>
      <x:c r="B119" s="19" t="str">
        <x:v>Security &amp; Production</x:v>
      </x:c>
      <x:c r="C119" s="19" t="str">
        <x:v>Production debug setting</x:v>
      </x:c>
      <x:c r="D119" s="19" t="str">
        <x:v>Production debug setting</x:v>
      </x:c>
      <x:c r="E119" s="19" t="str">
        <x:v>Run the relevant static, dependency, feature, or browser check.</x:v>
      </x:c>
      <x:c r="F119" s="19" t="str">
        <x:v>No high/critical security failure.</x:v>
      </x:c>
      <x:c r="G119" s="19" t="str">
        <x:v>APP_DEBUG=false and APP_ENV=production.</x:v>
      </x:c>
      <x:c r="H119" s="19" t="str">
        <x:v>PASS</x:v>
      </x:c>
      <x:c r="I119" s="19" t="str">
        <x:v>None</x:v>
      </x:c>
      <x:c r="J119" s="19" t="str">
        <x:v>None</x:v>
      </x:c>
      <x:c r="K119" s="19" t="str">
        <x:v>Not required</x:v>
      </x:c>
      <x:c r="L119" s="19" t="str">
        <x:v>PASS</x:v>
      </x:c>
      <x:c r="M119" s="19" t="str">
        <x:v>PASS</x:v>
      </x:c>
      <x:c r="N119" s="19" t="str">
        <x:v>2026-08-21</x:v>
      </x:c>
    </x:row>
    <x:row r="120">
      <x:c r="A120" s="19" t="str">
        <x:v>SEC-007</x:v>
      </x:c>
      <x:c r="B120" s="19" t="str">
        <x:v>Security &amp; Production</x:v>
      </x:c>
      <x:c r="C120" s="19" t="str">
        <x:v>Unique barcode/SKU constraints</x:v>
      </x:c>
      <x:c r="D120" s="19" t="str">
        <x:v>Unique barcode/SKU constraints</x:v>
      </x:c>
      <x:c r="E120" s="19" t="str">
        <x:v>Run the relevant static, dependency, feature, or browser check.</x:v>
      </x:c>
      <x:c r="F120" s="19" t="str">
        <x:v>No high/critical security failure.</x:v>
      </x:c>
      <x:c r="G120" s="19" t="str">
        <x:v>Database constraints and validation verified.</x:v>
      </x:c>
      <x:c r="H120" s="19" t="str">
        <x:v>PASS</x:v>
      </x:c>
      <x:c r="I120" s="19" t="str">
        <x:v>None</x:v>
      </x:c>
      <x:c r="J120" s="19" t="str">
        <x:v>None</x:v>
      </x:c>
      <x:c r="K120" s="19" t="str">
        <x:v>Not required</x:v>
      </x:c>
      <x:c r="L120" s="19" t="str">
        <x:v>PASS</x:v>
      </x:c>
      <x:c r="M120" s="19" t="str">
        <x:v>PASS</x:v>
      </x:c>
      <x:c r="N120" s="19" t="str">
        <x:v>2026-08-21</x:v>
      </x:c>
    </x:row>
  </x:sheetData>
  <x:mergeCells>
    <x:mergeCell ref="A1:N1"/>
    <x:mergeCell ref="A2:N2"/>
  </x:mergeCells>
  <x:conditionalFormatting sqref="M4:M120">
    <x:cfRule type="expression" dxfId="0" priority="1">
      <x:formula>M4="FIXED"</x:formula>
    </x:cfRule>
    <x:cfRule type="expression" dxfId="1" priority="2">
      <x:formula>M4="PASS"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e440a90eb24a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23" t="str">
        <x:v>Permissions Matrix</x:v>
      </x:c>
      <x:c r="B1" s="24"/>
      <x:c r="C1" s="24"/>
      <x:c r="D1" s="24"/>
      <x:c r="E1" s="24"/>
      <x:c r="F1" s="24"/>
      <x:c r="G1" s="24"/>
      <x:c r="H1" s="24"/>
      <x:c r="I1" s="24"/>
    </x:row>
    <x:row r="2" ht="24" customHeight="1">
      <x:c r="A2" s="25" t="str">
        <x:v>109 database-driven permissions mapped to default roles and a restricted custom test role</x:v>
      </x:c>
      <x:c r="B2" s="26"/>
      <x:c r="C2" s="26"/>
      <x:c r="D2" s="26"/>
      <x:c r="E2" s="26"/>
      <x:c r="F2" s="26"/>
      <x:c r="G2" s="26"/>
      <x:c r="H2" s="26"/>
      <x:c r="I2" s="26"/>
    </x:row>
    <x:row r="3" ht="30" customHeight="1">
      <x:c r="A3" s="27" t="str">
        <x:v>Module</x:v>
      </x:c>
      <x:c r="B3" s="27" t="str">
        <x:v>Permission</x:v>
      </x:c>
      <x:c r="C3" s="27" t="str">
        <x:v>Description</x:v>
      </x:c>
      <x:c r="D3" s="27" t="str">
        <x:v>Super Admin</x:v>
      </x:c>
      <x:c r="E3" s="27" t="str">
        <x:v>Admin</x:v>
      </x:c>
      <x:c r="F3" s="27" t="str">
        <x:v>Manager</x:v>
      </x:c>
      <x:c r="G3" s="27" t="str">
        <x:v>Cashier</x:v>
      </x:c>
      <x:c r="H3" s="27" t="str">
        <x:v>Storekeeper</x:v>
      </x:c>
      <x:c r="I3" s="27" t="str">
        <x:v>Custom Test Role</x:v>
      </x:c>
    </x:row>
    <x:row r="4">
      <x:c r="A4" s="19" t="str">
        <x:v>Dashboard</x:v>
      </x:c>
      <x:c r="B4" s="19" t="str">
        <x:v>dashboard.view</x:v>
      </x:c>
      <x:c r="C4" s="19" t="str">
        <x:v>View dashboard</x:v>
      </x:c>
      <x:c r="D4" s="19" t="str">
        <x:v>YES</x:v>
      </x:c>
      <x:c r="E4" s="19" t="str">
        <x:v>YES</x:v>
      </x:c>
      <x:c r="F4" s="19" t="str">
        <x:v>YES</x:v>
      </x:c>
      <x:c r="G4" s="19" t="str">
        <x:v>YES</x:v>
      </x:c>
      <x:c r="H4" s="19" t="str">
        <x:v>YES</x:v>
      </x:c>
      <x:c r="I4" s="19" t="str">
        <x:v>YES</x:v>
      </x:c>
    </x:row>
    <x:row r="5">
      <x:c r="A5" s="19" t="str">
        <x:v>Dashboard</x:v>
      </x:c>
      <x:c r="B5" s="19" t="str">
        <x:v>dashboard.view_profit</x:v>
      </x:c>
      <x:c r="C5" s="19" t="str">
        <x:v>View profit figures</x:v>
      </x:c>
      <x:c r="D5" s="19" t="str">
        <x:v>YES</x:v>
      </x:c>
      <x:c r="E5" s="19" t="str">
        <x:v>YES</x:v>
      </x:c>
      <x:c r="F5" s="19" t="str">
        <x:v>YES</x:v>
      </x:c>
      <x:c r="G5" s="19" t="str">
        <x:v>NO</x:v>
      </x:c>
      <x:c r="H5" s="19" t="str">
        <x:v>NO</x:v>
      </x:c>
      <x:c r="I5" s="19" t="str">
        <x:v>NO</x:v>
      </x:c>
    </x:row>
    <x:row r="6">
      <x:c r="A6" s="19" t="str">
        <x:v>Dashboard</x:v>
      </x:c>
      <x:c r="B6" s="19" t="str">
        <x:v>dashboard.view_stock_value</x:v>
      </x:c>
      <x:c r="C6" s="19" t="str">
        <x:v>View stock value</x:v>
      </x:c>
      <x:c r="D6" s="19" t="str">
        <x:v>YES</x:v>
      </x:c>
      <x:c r="E6" s="19" t="str">
        <x:v>YES</x:v>
      </x:c>
      <x:c r="F6" s="19" t="str">
        <x:v>YES</x:v>
      </x:c>
      <x:c r="G6" s="19" t="str">
        <x:v>NO</x:v>
      </x:c>
      <x:c r="H6" s="19" t="str">
        <x:v>NO</x:v>
      </x:c>
      <x:c r="I6" s="19" t="str">
        <x:v>NO</x:v>
      </x:c>
    </x:row>
    <x:row r="7">
      <x:c r="A7" s="19" t="str">
        <x:v>Dashboard</x:v>
      </x:c>
      <x:c r="B7" s="19" t="str">
        <x:v>dashboard.view_customer_due</x:v>
      </x:c>
      <x:c r="C7" s="19" t="str">
        <x:v>View customer dues</x:v>
      </x:c>
      <x:c r="D7" s="19" t="str">
        <x:v>YES</x:v>
      </x:c>
      <x:c r="E7" s="19" t="str">
        <x:v>YES</x:v>
      </x:c>
      <x:c r="F7" s="19" t="str">
        <x:v>YES</x:v>
      </x:c>
      <x:c r="G7" s="19" t="str">
        <x:v>NO</x:v>
      </x:c>
      <x:c r="H7" s="19" t="str">
        <x:v>NO</x:v>
      </x:c>
      <x:c r="I7" s="19" t="str">
        <x:v>NO</x:v>
      </x:c>
    </x:row>
    <x:row r="8">
      <x:c r="A8" s="19" t="str">
        <x:v>Dashboard</x:v>
      </x:c>
      <x:c r="B8" s="19" t="str">
        <x:v>dashboard.view_supplier_due</x:v>
      </x:c>
      <x:c r="C8" s="19" t="str">
        <x:v>View supplier dues</x:v>
      </x:c>
      <x:c r="D8" s="19" t="str">
        <x:v>YES</x:v>
      </x:c>
      <x:c r="E8" s="19" t="str">
        <x:v>YES</x:v>
      </x:c>
      <x:c r="F8" s="19" t="str">
        <x:v>YES</x:v>
      </x:c>
      <x:c r="G8" s="19" t="str">
        <x:v>NO</x:v>
      </x:c>
      <x:c r="H8" s="19" t="str">
        <x:v>NO</x:v>
      </x:c>
      <x:c r="I8" s="19" t="str">
        <x:v>NO</x:v>
      </x:c>
    </x:row>
    <x:row r="9">
      <x:c r="A9" s="19" t="str">
        <x:v>Users</x:v>
      </x:c>
      <x:c r="B9" s="19" t="str">
        <x:v>users.view</x:v>
      </x:c>
      <x:c r="C9" s="19" t="str">
        <x:v>View users</x:v>
      </x:c>
      <x:c r="D9" s="19" t="str">
        <x:v>YES</x:v>
      </x:c>
      <x:c r="E9" s="19" t="str">
        <x:v>YES</x:v>
      </x:c>
      <x:c r="F9" s="19" t="str">
        <x:v>NO</x:v>
      </x:c>
      <x:c r="G9" s="19" t="str">
        <x:v>NO</x:v>
      </x:c>
      <x:c r="H9" s="19" t="str">
        <x:v>NO</x:v>
      </x:c>
      <x:c r="I9" s="19" t="str">
        <x:v>NO</x:v>
      </x:c>
    </x:row>
    <x:row r="10">
      <x:c r="A10" s="19" t="str">
        <x:v>Users</x:v>
      </x:c>
      <x:c r="B10" s="19" t="str">
        <x:v>users.create</x:v>
      </x:c>
      <x:c r="C10" s="19" t="str">
        <x:v>Create users</x:v>
      </x:c>
      <x:c r="D10" s="19" t="str">
        <x:v>YES</x:v>
      </x:c>
      <x:c r="E10" s="19" t="str">
        <x:v>YES</x:v>
      </x:c>
      <x:c r="F10" s="19" t="str">
        <x:v>NO</x:v>
      </x:c>
      <x:c r="G10" s="19" t="str">
        <x:v>NO</x:v>
      </x:c>
      <x:c r="H10" s="19" t="str">
        <x:v>NO</x:v>
      </x:c>
      <x:c r="I10" s="19" t="str">
        <x:v>NO</x:v>
      </x:c>
    </x:row>
    <x:row r="11">
      <x:c r="A11" s="19" t="str">
        <x:v>Users</x:v>
      </x:c>
      <x:c r="B11" s="19" t="str">
        <x:v>users.edit</x:v>
      </x:c>
      <x:c r="C11" s="19" t="str">
        <x:v>Edit users</x:v>
      </x:c>
      <x:c r="D11" s="19" t="str">
        <x:v>YES</x:v>
      </x:c>
      <x:c r="E11" s="19" t="str">
        <x:v>YES</x:v>
      </x:c>
      <x:c r="F11" s="19" t="str">
        <x:v>NO</x:v>
      </x:c>
      <x:c r="G11" s="19" t="str">
        <x:v>NO</x:v>
      </x:c>
      <x:c r="H11" s="19" t="str">
        <x:v>NO</x:v>
      </x:c>
      <x:c r="I11" s="19" t="str">
        <x:v>NO</x:v>
      </x:c>
    </x:row>
    <x:row r="12">
      <x:c r="A12" s="19" t="str">
        <x:v>Users</x:v>
      </x:c>
      <x:c r="B12" s="19" t="str">
        <x:v>users.deactivate</x:v>
      </x:c>
      <x:c r="C12" s="19" t="str">
        <x:v>Activate or deactivate users</x:v>
      </x:c>
      <x:c r="D12" s="19" t="str">
        <x:v>YES</x:v>
      </x:c>
      <x:c r="E12" s="19" t="str">
        <x:v>YES</x:v>
      </x:c>
      <x:c r="F12" s="19" t="str">
        <x:v>NO</x:v>
      </x:c>
      <x:c r="G12" s="19" t="str">
        <x:v>NO</x:v>
      </x:c>
      <x:c r="H12" s="19" t="str">
        <x:v>NO</x:v>
      </x:c>
      <x:c r="I12" s="19" t="str">
        <x:v>NO</x:v>
      </x:c>
    </x:row>
    <x:row r="13">
      <x:c r="A13" s="19" t="str">
        <x:v>Users</x:v>
      </x:c>
      <x:c r="B13" s="19" t="str">
        <x:v>users.delete</x:v>
      </x:c>
      <x:c r="C13" s="19" t="str">
        <x:v>Delete users</x:v>
      </x:c>
      <x:c r="D13" s="19" t="str">
        <x:v>YES</x:v>
      </x:c>
      <x:c r="E13" s="19" t="str">
        <x:v>YES</x:v>
      </x:c>
      <x:c r="F13" s="19" t="str">
        <x:v>NO</x:v>
      </x:c>
      <x:c r="G13" s="19" t="str">
        <x:v>NO</x:v>
      </x:c>
      <x:c r="H13" s="19" t="str">
        <x:v>NO</x:v>
      </x:c>
      <x:c r="I13" s="19" t="str">
        <x:v>NO</x:v>
      </x:c>
    </x:row>
    <x:row r="14">
      <x:c r="A14" s="19" t="str">
        <x:v>Roles</x:v>
      </x:c>
      <x:c r="B14" s="19" t="str">
        <x:v>roles.view</x:v>
      </x:c>
      <x:c r="C14" s="19" t="str">
        <x:v>View roles</x:v>
      </x:c>
      <x:c r="D14" s="19" t="str">
        <x:v>YES</x:v>
      </x:c>
      <x:c r="E14" s="19" t="str">
        <x:v>YES</x:v>
      </x:c>
      <x:c r="F14" s="19" t="str">
        <x:v>NO</x:v>
      </x:c>
      <x:c r="G14" s="19" t="str">
        <x:v>NO</x:v>
      </x:c>
      <x:c r="H14" s="19" t="str">
        <x:v>NO</x:v>
      </x:c>
      <x:c r="I14" s="19" t="str">
        <x:v>NO</x:v>
      </x:c>
    </x:row>
    <x:row r="15">
      <x:c r="A15" s="19" t="str">
        <x:v>Roles</x:v>
      </x:c>
      <x:c r="B15" s="19" t="str">
        <x:v>roles.create</x:v>
      </x:c>
      <x:c r="C15" s="19" t="str">
        <x:v>Create roles</x:v>
      </x:c>
      <x:c r="D15" s="19" t="str">
        <x:v>YES</x:v>
      </x:c>
      <x:c r="E15" s="19" t="str">
        <x:v>YES</x:v>
      </x:c>
      <x:c r="F15" s="19" t="str">
        <x:v>NO</x:v>
      </x:c>
      <x:c r="G15" s="19" t="str">
        <x:v>NO</x:v>
      </x:c>
      <x:c r="H15" s="19" t="str">
        <x:v>NO</x:v>
      </x:c>
      <x:c r="I15" s="19" t="str">
        <x:v>NO</x:v>
      </x:c>
    </x:row>
    <x:row r="16">
      <x:c r="A16" s="19" t="str">
        <x:v>Roles</x:v>
      </x:c>
      <x:c r="B16" s="19" t="str">
        <x:v>roles.edit</x:v>
      </x:c>
      <x:c r="C16" s="19" t="str">
        <x:v>Edit roles</x:v>
      </x:c>
      <x:c r="D16" s="19" t="str">
        <x:v>YES</x:v>
      </x:c>
      <x:c r="E16" s="19" t="str">
        <x:v>YES</x:v>
      </x:c>
      <x:c r="F16" s="19" t="str">
        <x:v>NO</x:v>
      </x:c>
      <x:c r="G16" s="19" t="str">
        <x:v>NO</x:v>
      </x:c>
      <x:c r="H16" s="19" t="str">
        <x:v>NO</x:v>
      </x:c>
      <x:c r="I16" s="19" t="str">
        <x:v>NO</x:v>
      </x:c>
    </x:row>
    <x:row r="17">
      <x:c r="A17" s="19" t="str">
        <x:v>Roles</x:v>
      </x:c>
      <x:c r="B17" s="19" t="str">
        <x:v>roles.delete</x:v>
      </x:c>
      <x:c r="C17" s="19" t="str">
        <x:v>Delete roles</x:v>
      </x:c>
      <x:c r="D17" s="19" t="str">
        <x:v>YES</x:v>
      </x:c>
      <x:c r="E17" s="19" t="str">
        <x:v>YES</x:v>
      </x:c>
      <x:c r="F17" s="19" t="str">
        <x:v>NO</x:v>
      </x:c>
      <x:c r="G17" s="19" t="str">
        <x:v>NO</x:v>
      </x:c>
      <x:c r="H17" s="19" t="str">
        <x:v>NO</x:v>
      </x:c>
      <x:c r="I17" s="19" t="str">
        <x:v>NO</x:v>
      </x:c>
    </x:row>
    <x:row r="18">
      <x:c r="A18" s="19" t="str">
        <x:v>Roles</x:v>
      </x:c>
      <x:c r="B18" s="19" t="str">
        <x:v>roles.assign_permissions</x:v>
      </x:c>
      <x:c r="C18" s="19" t="str">
        <x:v>Assign role permissions</x:v>
      </x:c>
      <x:c r="D18" s="19" t="str">
        <x:v>YES</x:v>
      </x:c>
      <x:c r="E18" s="19" t="str">
        <x:v>YES</x:v>
      </x:c>
      <x:c r="F18" s="19" t="str">
        <x:v>NO</x:v>
      </x:c>
      <x:c r="G18" s="19" t="str">
        <x:v>NO</x:v>
      </x:c>
      <x:c r="H18" s="19" t="str">
        <x:v>NO</x:v>
      </x:c>
      <x:c r="I18" s="19" t="str">
        <x:v>NO</x:v>
      </x:c>
    </x:row>
    <x:row r="19">
      <x:c r="A19" s="19" t="str">
        <x:v>Products</x:v>
      </x:c>
      <x:c r="B19" s="19" t="str">
        <x:v>products.view</x:v>
      </x:c>
      <x:c r="C19" s="19" t="str">
        <x:v>View products</x:v>
      </x:c>
      <x:c r="D19" s="19" t="str">
        <x:v>YES</x:v>
      </x:c>
      <x:c r="E19" s="19" t="str">
        <x:v>YES</x:v>
      </x:c>
      <x:c r="F19" s="19" t="str">
        <x:v>YES</x:v>
      </x:c>
      <x:c r="G19" s="19" t="str">
        <x:v>YES</x:v>
      </x:c>
      <x:c r="H19" s="19" t="str">
        <x:v>YES</x:v>
      </x:c>
      <x:c r="I19" s="19" t="str">
        <x:v>YES</x:v>
      </x:c>
    </x:row>
    <x:row r="20">
      <x:c r="A20" s="19" t="str">
        <x:v>Products</x:v>
      </x:c>
      <x:c r="B20" s="19" t="str">
        <x:v>products.create</x:v>
      </x:c>
      <x:c r="C20" s="19" t="str">
        <x:v>Create products</x:v>
      </x:c>
      <x:c r="D20" s="19" t="str">
        <x:v>YES</x:v>
      </x:c>
      <x:c r="E20" s="19" t="str">
        <x:v>YES</x:v>
      </x:c>
      <x:c r="F20" s="19" t="str">
        <x:v>YES</x:v>
      </x:c>
      <x:c r="G20" s="19" t="str">
        <x:v>NO</x:v>
      </x:c>
      <x:c r="H20" s="19" t="str">
        <x:v>YES</x:v>
      </x:c>
      <x:c r="I20" s="19" t="str">
        <x:v>NO</x:v>
      </x:c>
    </x:row>
    <x:row r="21">
      <x:c r="A21" s="19" t="str">
        <x:v>Products</x:v>
      </x:c>
      <x:c r="B21" s="19" t="str">
        <x:v>products.edit</x:v>
      </x:c>
      <x:c r="C21" s="19" t="str">
        <x:v>Edit products</x:v>
      </x:c>
      <x:c r="D21" s="19" t="str">
        <x:v>YES</x:v>
      </x:c>
      <x:c r="E21" s="19" t="str">
        <x:v>YES</x:v>
      </x:c>
      <x:c r="F21" s="19" t="str">
        <x:v>YES</x:v>
      </x:c>
      <x:c r="G21" s="19" t="str">
        <x:v>NO</x:v>
      </x:c>
      <x:c r="H21" s="19" t="str">
        <x:v>YES</x:v>
      </x:c>
      <x:c r="I21" s="19" t="str">
        <x:v>NO</x:v>
      </x:c>
    </x:row>
    <x:row r="22">
      <x:c r="A22" s="19" t="str">
        <x:v>Products</x:v>
      </x:c>
      <x:c r="B22" s="19" t="str">
        <x:v>products.delete</x:v>
      </x:c>
      <x:c r="C22" s="19" t="str">
        <x:v>Delete products</x:v>
      </x:c>
      <x:c r="D22" s="19" t="str">
        <x:v>YES</x:v>
      </x:c>
      <x:c r="E22" s="19" t="str">
        <x:v>YES</x:v>
      </x:c>
      <x:c r="F22" s="19" t="str">
        <x:v>YES</x:v>
      </x:c>
      <x:c r="G22" s="19" t="str">
        <x:v>NO</x:v>
      </x:c>
      <x:c r="H22" s="19" t="str">
        <x:v>NO</x:v>
      </x:c>
      <x:c r="I22" s="19" t="str">
        <x:v>NO</x:v>
      </x:c>
    </x:row>
    <x:row r="23">
      <x:c r="A23" s="19" t="str">
        <x:v>Products</x:v>
      </x:c>
      <x:c r="B23" s="19" t="str">
        <x:v>products.view_cost</x:v>
      </x:c>
      <x:c r="C23" s="19" t="str">
        <x:v>View product costs</x:v>
      </x:c>
      <x:c r="D23" s="19" t="str">
        <x:v>YES</x:v>
      </x:c>
      <x:c r="E23" s="19" t="str">
        <x:v>YES</x:v>
      </x:c>
      <x:c r="F23" s="19" t="str">
        <x:v>YES</x:v>
      </x:c>
      <x:c r="G23" s="19" t="str">
        <x:v>NO</x:v>
      </x:c>
      <x:c r="H23" s="19" t="str">
        <x:v>YES</x:v>
      </x:c>
      <x:c r="I23" s="19" t="str">
        <x:v>NO</x:v>
      </x:c>
    </x:row>
    <x:row r="24">
      <x:c r="A24" s="19" t="str">
        <x:v>Products</x:v>
      </x:c>
      <x:c r="B24" s="19" t="str">
        <x:v>products.change_cost</x:v>
      </x:c>
      <x:c r="C24" s="19" t="str">
        <x:v>Change product costs</x:v>
      </x:c>
      <x:c r="D24" s="19" t="str">
        <x:v>YES</x:v>
      </x:c>
      <x:c r="E24" s="19" t="str">
        <x:v>YES</x:v>
      </x:c>
      <x:c r="F24" s="19" t="str">
        <x:v>YES</x:v>
      </x:c>
      <x:c r="G24" s="19" t="str">
        <x:v>NO</x:v>
      </x:c>
      <x:c r="H24" s="19" t="str">
        <x:v>YES</x:v>
      </x:c>
      <x:c r="I24" s="19" t="str">
        <x:v>NO</x:v>
      </x:c>
    </x:row>
    <x:row r="25">
      <x:c r="A25" s="19" t="str">
        <x:v>Products</x:v>
      </x:c>
      <x:c r="B25" s="19" t="str">
        <x:v>products.change_selling_price</x:v>
      </x:c>
      <x:c r="C25" s="19" t="str">
        <x:v>Change selling prices</x:v>
      </x:c>
      <x:c r="D25" s="19" t="str">
        <x:v>YES</x:v>
      </x:c>
      <x:c r="E25" s="19" t="str">
        <x:v>YES</x:v>
      </x:c>
      <x:c r="F25" s="19" t="str">
        <x:v>YES</x:v>
      </x:c>
      <x:c r="G25" s="19" t="str">
        <x:v>NO</x:v>
      </x:c>
      <x:c r="H25" s="19" t="str">
        <x:v>YES</x:v>
      </x:c>
      <x:c r="I25" s="19" t="str">
        <x:v>NO</x:v>
      </x:c>
    </x:row>
    <x:row r="26">
      <x:c r="A26" s="19" t="str">
        <x:v>Product setup</x:v>
      </x:c>
      <x:c r="B26" s="19" t="str">
        <x:v>categories.manage</x:v>
      </x:c>
      <x:c r="C26" s="19" t="str">
        <x:v>Manage categories</x:v>
      </x:c>
      <x:c r="D26" s="19" t="str">
        <x:v>YES</x:v>
      </x:c>
      <x:c r="E26" s="19" t="str">
        <x:v>YES</x:v>
      </x:c>
      <x:c r="F26" s="19" t="str">
        <x:v>YES</x:v>
      </x:c>
      <x:c r="G26" s="19" t="str">
        <x:v>NO</x:v>
      </x:c>
      <x:c r="H26" s="19" t="str">
        <x:v>YES</x:v>
      </x:c>
      <x:c r="I26" s="19" t="str">
        <x:v>NO</x:v>
      </x:c>
    </x:row>
    <x:row r="27">
      <x:c r="A27" s="19" t="str">
        <x:v>Product setup</x:v>
      </x:c>
      <x:c r="B27" s="19" t="str">
        <x:v>brands.manage</x:v>
      </x:c>
      <x:c r="C27" s="19" t="str">
        <x:v>Manage brands</x:v>
      </x:c>
      <x:c r="D27" s="19" t="str">
        <x:v>YES</x:v>
      </x:c>
      <x:c r="E27" s="19" t="str">
        <x:v>YES</x:v>
      </x:c>
      <x:c r="F27" s="19" t="str">
        <x:v>YES</x:v>
      </x:c>
      <x:c r="G27" s="19" t="str">
        <x:v>NO</x:v>
      </x:c>
      <x:c r="H27" s="19" t="str">
        <x:v>YES</x:v>
      </x:c>
      <x:c r="I27" s="19" t="str">
        <x:v>NO</x:v>
      </x:c>
    </x:row>
    <x:row r="28">
      <x:c r="A28" s="19" t="str">
        <x:v>Product setup</x:v>
      </x:c>
      <x:c r="B28" s="19" t="str">
        <x:v>units.manage</x:v>
      </x:c>
      <x:c r="C28" s="19" t="str">
        <x:v>Manage units</x:v>
      </x:c>
      <x:c r="D28" s="19" t="str">
        <x:v>YES</x:v>
      </x:c>
      <x:c r="E28" s="19" t="str">
        <x:v>YES</x:v>
      </x:c>
      <x:c r="F28" s="19" t="str">
        <x:v>YES</x:v>
      </x:c>
      <x:c r="G28" s="19" t="str">
        <x:v>NO</x:v>
      </x:c>
      <x:c r="H28" s="19" t="str">
        <x:v>YES</x:v>
      </x:c>
      <x:c r="I28" s="19" t="str">
        <x:v>NO</x:v>
      </x:c>
    </x:row>
    <x:row r="29">
      <x:c r="A29" s="19" t="str">
        <x:v>Product setup</x:v>
      </x:c>
      <x:c r="B29" s="19" t="str">
        <x:v>unit_presets.manage</x:v>
      </x:c>
      <x:c r="C29" s="19" t="str">
        <x:v>Manage multiple-unit presets</x:v>
      </x:c>
      <x:c r="D29" s="19" t="str">
        <x:v>YES</x:v>
      </x:c>
      <x:c r="E29" s="19" t="str">
        <x:v>YES</x:v>
      </x:c>
      <x:c r="F29" s="19" t="str">
        <x:v>YES</x:v>
      </x:c>
      <x:c r="G29" s="19" t="str">
        <x:v>NO</x:v>
      </x:c>
      <x:c r="H29" s="19" t="str">
        <x:v>YES</x:v>
      </x:c>
      <x:c r="I29" s="19" t="str">
        <x:v>NO</x:v>
      </x:c>
    </x:row>
    <x:row r="30">
      <x:c r="A30" s="19" t="str">
        <x:v>Purchases</x:v>
      </x:c>
      <x:c r="B30" s="19" t="str">
        <x:v>purchases.view</x:v>
      </x:c>
      <x:c r="C30" s="19" t="str">
        <x:v>View purchases</x:v>
      </x:c>
      <x:c r="D30" s="19" t="str">
        <x:v>YES</x:v>
      </x:c>
      <x:c r="E30" s="19" t="str">
        <x:v>YES</x:v>
      </x:c>
      <x:c r="F30" s="19" t="str">
        <x:v>YES</x:v>
      </x:c>
      <x:c r="G30" s="19" t="str">
        <x:v>NO</x:v>
      </x:c>
      <x:c r="H30" s="19" t="str">
        <x:v>YES</x:v>
      </x:c>
      <x:c r="I30" s="19" t="str">
        <x:v>NO</x:v>
      </x:c>
    </x:row>
    <x:row r="31">
      <x:c r="A31" s="19" t="str">
        <x:v>Purchases</x:v>
      </x:c>
      <x:c r="B31" s="19" t="str">
        <x:v>purchases.create</x:v>
      </x:c>
      <x:c r="C31" s="19" t="str">
        <x:v>Create purchases</x:v>
      </x:c>
      <x:c r="D31" s="19" t="str">
        <x:v>YES</x:v>
      </x:c>
      <x:c r="E31" s="19" t="str">
        <x:v>YES</x:v>
      </x:c>
      <x:c r="F31" s="19" t="str">
        <x:v>YES</x:v>
      </x:c>
      <x:c r="G31" s="19" t="str">
        <x:v>NO</x:v>
      </x:c>
      <x:c r="H31" s="19" t="str">
        <x:v>YES</x:v>
      </x:c>
      <x:c r="I31" s="19" t="str">
        <x:v>NO</x:v>
      </x:c>
    </x:row>
    <x:row r="32">
      <x:c r="A32" s="19" t="str">
        <x:v>Purchases</x:v>
      </x:c>
      <x:c r="B32" s="19" t="str">
        <x:v>purchases.edit</x:v>
      </x:c>
      <x:c r="C32" s="19" t="str">
        <x:v>Edit purchases</x:v>
      </x:c>
      <x:c r="D32" s="19" t="str">
        <x:v>YES</x:v>
      </x:c>
      <x:c r="E32" s="19" t="str">
        <x:v>YES</x:v>
      </x:c>
      <x:c r="F32" s="19" t="str">
        <x:v>YES</x:v>
      </x:c>
      <x:c r="G32" s="19" t="str">
        <x:v>NO</x:v>
      </x:c>
      <x:c r="H32" s="19" t="str">
        <x:v>YES</x:v>
      </x:c>
      <x:c r="I32" s="19" t="str">
        <x:v>NO</x:v>
      </x:c>
    </x:row>
    <x:row r="33">
      <x:c r="A33" s="19" t="str">
        <x:v>Purchases</x:v>
      </x:c>
      <x:c r="B33" s="19" t="str">
        <x:v>purchases.cancel</x:v>
      </x:c>
      <x:c r="C33" s="19" t="str">
        <x:v>Cancel purchases</x:v>
      </x:c>
      <x:c r="D33" s="19" t="str">
        <x:v>YES</x:v>
      </x:c>
      <x:c r="E33" s="19" t="str">
        <x:v>YES</x:v>
      </x:c>
      <x:c r="F33" s="19" t="str">
        <x:v>YES</x:v>
      </x:c>
      <x:c r="G33" s="19" t="str">
        <x:v>NO</x:v>
      </x:c>
      <x:c r="H33" s="19" t="str">
        <x:v>NO</x:v>
      </x:c>
      <x:c r="I33" s="19" t="str">
        <x:v>NO</x:v>
      </x:c>
    </x:row>
    <x:row r="34">
      <x:c r="A34" s="19" t="str">
        <x:v>Purchases</x:v>
      </x:c>
      <x:c r="B34" s="19" t="str">
        <x:v>purchases.return</x:v>
      </x:c>
      <x:c r="C34" s="19" t="str">
        <x:v>Return purchases</x:v>
      </x:c>
      <x:c r="D34" s="19" t="str">
        <x:v>YES</x:v>
      </x:c>
      <x:c r="E34" s="19" t="str">
        <x:v>YES</x:v>
      </x:c>
      <x:c r="F34" s="19" t="str">
        <x:v>YES</x:v>
      </x:c>
      <x:c r="G34" s="19" t="str">
        <x:v>NO</x:v>
      </x:c>
      <x:c r="H34" s="19" t="str">
        <x:v>YES</x:v>
      </x:c>
      <x:c r="I34" s="19" t="str">
        <x:v>NO</x:v>
      </x:c>
    </x:row>
    <x:row r="35">
      <x:c r="A35" s="19" t="str">
        <x:v>Purchases</x:v>
      </x:c>
      <x:c r="B35" s="19" t="str">
        <x:v>purchases.view_cost</x:v>
      </x:c>
      <x:c r="C35" s="19" t="str">
        <x:v>View purchase costs</x:v>
      </x:c>
      <x:c r="D35" s="19" t="str">
        <x:v>YES</x:v>
      </x:c>
      <x:c r="E35" s="19" t="str">
        <x:v>YES</x:v>
      </x:c>
      <x:c r="F35" s="19" t="str">
        <x:v>YES</x:v>
      </x:c>
      <x:c r="G35" s="19" t="str">
        <x:v>NO</x:v>
      </x:c>
      <x:c r="H35" s="19" t="str">
        <x:v>YES</x:v>
      </x:c>
      <x:c r="I35" s="19" t="str">
        <x:v>NO</x:v>
      </x:c>
    </x:row>
    <x:row r="36">
      <x:c r="A36" s="19" t="str">
        <x:v>Purchases</x:v>
      </x:c>
      <x:c r="B36" s="19" t="str">
        <x:v>purchases.make_payment</x:v>
      </x:c>
      <x:c r="C36" s="19" t="str">
        <x:v>Make supplier payments</x:v>
      </x:c>
      <x:c r="D36" s="19" t="str">
        <x:v>YES</x:v>
      </x:c>
      <x:c r="E36" s="19" t="str">
        <x:v>YES</x:v>
      </x:c>
      <x:c r="F36" s="19" t="str">
        <x:v>YES</x:v>
      </x:c>
      <x:c r="G36" s="19" t="str">
        <x:v>NO</x:v>
      </x:c>
      <x:c r="H36" s="19" t="str">
        <x:v>NO</x:v>
      </x:c>
      <x:c r="I36" s="19" t="str">
        <x:v>NO</x:v>
      </x:c>
    </x:row>
    <x:row r="37">
      <x:c r="A37" s="19" t="str">
        <x:v>Sales</x:v>
      </x:c>
      <x:c r="B37" s="19" t="str">
        <x:v>sales.view</x:v>
      </x:c>
      <x:c r="C37" s="19" t="str">
        <x:v>View sales</x:v>
      </x:c>
      <x:c r="D37" s="19" t="str">
        <x:v>YES</x:v>
      </x:c>
      <x:c r="E37" s="19" t="str">
        <x:v>YES</x:v>
      </x:c>
      <x:c r="F37" s="19" t="str">
        <x:v>YES</x:v>
      </x:c>
      <x:c r="G37" s="19" t="str">
        <x:v>YES</x:v>
      </x:c>
      <x:c r="H37" s="19" t="str">
        <x:v>NO</x:v>
      </x:c>
      <x:c r="I37" s="19" t="str">
        <x:v>NO</x:v>
      </x:c>
    </x:row>
    <x:row r="38">
      <x:c r="A38" s="19" t="str">
        <x:v>Sales</x:v>
      </x:c>
      <x:c r="B38" s="19" t="str">
        <x:v>sales.create</x:v>
      </x:c>
      <x:c r="C38" s="19" t="str">
        <x:v>Create sales</x:v>
      </x:c>
      <x:c r="D38" s="19" t="str">
        <x:v>YES</x:v>
      </x:c>
      <x:c r="E38" s="19" t="str">
        <x:v>YES</x:v>
      </x:c>
      <x:c r="F38" s="19" t="str">
        <x:v>YES</x:v>
      </x:c>
      <x:c r="G38" s="19" t="str">
        <x:v>YES</x:v>
      </x:c>
      <x:c r="H38" s="19" t="str">
        <x:v>NO</x:v>
      </x:c>
      <x:c r="I38" s="19" t="str">
        <x:v>NO</x:v>
      </x:c>
    </x:row>
    <x:row r="39">
      <x:c r="A39" s="19" t="str">
        <x:v>Sales</x:v>
      </x:c>
      <x:c r="B39" s="19" t="str">
        <x:v>sales.cancel</x:v>
      </x:c>
      <x:c r="C39" s="19" t="str">
        <x:v>Cancel sales</x:v>
      </x:c>
      <x:c r="D39" s="19" t="str">
        <x:v>YES</x:v>
      </x:c>
      <x:c r="E39" s="19" t="str">
        <x:v>YES</x:v>
      </x:c>
      <x:c r="F39" s="19" t="str">
        <x:v>YES</x:v>
      </x:c>
      <x:c r="G39" s="19" t="str">
        <x:v>NO</x:v>
      </x:c>
      <x:c r="H39" s="19" t="str">
        <x:v>NO</x:v>
      </x:c>
      <x:c r="I39" s="19" t="str">
        <x:v>NO</x:v>
      </x:c>
    </x:row>
    <x:row r="40">
      <x:c r="A40" s="19" t="str">
        <x:v>Sales</x:v>
      </x:c>
      <x:c r="B40" s="19" t="str">
        <x:v>sales.return</x:v>
      </x:c>
      <x:c r="C40" s="19" t="str">
        <x:v>Return sales</x:v>
      </x:c>
      <x:c r="D40" s="19" t="str">
        <x:v>YES</x:v>
      </x:c>
      <x:c r="E40" s="19" t="str">
        <x:v>YES</x:v>
      </x:c>
      <x:c r="F40" s="19" t="str">
        <x:v>YES</x:v>
      </x:c>
      <x:c r="G40" s="19" t="str">
        <x:v>YES</x:v>
      </x:c>
      <x:c r="H40" s="19" t="str">
        <x:v>NO</x:v>
      </x:c>
      <x:c r="I40" s="19" t="str">
        <x:v>NO</x:v>
      </x:c>
    </x:row>
    <x:row r="41">
      <x:c r="A41" s="19" t="str">
        <x:v>Sales</x:v>
      </x:c>
      <x:c r="B41" s="19" t="str">
        <x:v>sales.change_price</x:v>
      </x:c>
      <x:c r="C41" s="19" t="str">
        <x:v>Change sale price</x:v>
      </x:c>
      <x:c r="D41" s="19" t="str">
        <x:v>YES</x:v>
      </x:c>
      <x:c r="E41" s="19" t="str">
        <x:v>YES</x:v>
      </x:c>
      <x:c r="F41" s="19" t="str">
        <x:v>YES</x:v>
      </x:c>
      <x:c r="G41" s="19" t="str">
        <x:v>NO</x:v>
      </x:c>
      <x:c r="H41" s="19" t="str">
        <x:v>NO</x:v>
      </x:c>
      <x:c r="I41" s="19" t="str">
        <x:v>NO</x:v>
      </x:c>
    </x:row>
    <x:row r="42">
      <x:c r="A42" s="19" t="str">
        <x:v>Sales</x:v>
      </x:c>
      <x:c r="B42" s="19" t="str">
        <x:v>sales.discount</x:v>
      </x:c>
      <x:c r="C42" s="19" t="str">
        <x:v>Apply sale discounts</x:v>
      </x:c>
      <x:c r="D42" s="19" t="str">
        <x:v>YES</x:v>
      </x:c>
      <x:c r="E42" s="19" t="str">
        <x:v>YES</x:v>
      </x:c>
      <x:c r="F42" s="19" t="str">
        <x:v>YES</x:v>
      </x:c>
      <x:c r="G42" s="19" t="str">
        <x:v>YES</x:v>
      </x:c>
      <x:c r="H42" s="19" t="str">
        <x:v>NO</x:v>
      </x:c>
      <x:c r="I42" s="19" t="str">
        <x:v>NO</x:v>
      </x:c>
    </x:row>
    <x:row r="43">
      <x:c r="A43" s="19" t="str">
        <x:v>Main POS</x:v>
      </x:c>
      <x:c r="B43" s="19" t="str">
        <x:v>pos.main.access</x:v>
      </x:c>
      <x:c r="C43" s="19" t="str">
        <x:v>Access main POS</x:v>
      </x:c>
      <x:c r="D43" s="19" t="str">
        <x:v>YES</x:v>
      </x:c>
      <x:c r="E43" s="19" t="str">
        <x:v>YES</x:v>
      </x:c>
      <x:c r="F43" s="19" t="str">
        <x:v>YES</x:v>
      </x:c>
      <x:c r="G43" s="19" t="str">
        <x:v>YES</x:v>
      </x:c>
      <x:c r="H43" s="19" t="str">
        <x:v>NO</x:v>
      </x:c>
      <x:c r="I43" s="19" t="str">
        <x:v>NO</x:v>
      </x:c>
    </x:row>
    <x:row r="44">
      <x:c r="A44" s="19" t="str">
        <x:v>Main POS</x:v>
      </x:c>
      <x:c r="B44" s="19" t="str">
        <x:v>pos.main.sell</x:v>
      </x:c>
      <x:c r="C44" s="19" t="str">
        <x:v>Complete main POS sales</x:v>
      </x:c>
      <x:c r="D44" s="19" t="str">
        <x:v>YES</x:v>
      </x:c>
      <x:c r="E44" s="19" t="str">
        <x:v>YES</x:v>
      </x:c>
      <x:c r="F44" s="19" t="str">
        <x:v>YES</x:v>
      </x:c>
      <x:c r="G44" s="19" t="str">
        <x:v>YES</x:v>
      </x:c>
      <x:c r="H44" s="19" t="str">
        <x:v>NO</x:v>
      </x:c>
      <x:c r="I44" s="19" t="str">
        <x:v>NO</x:v>
      </x:c>
    </x:row>
    <x:row r="45">
      <x:c r="A45" s="19" t="str">
        <x:v>Main POS</x:v>
      </x:c>
      <x:c r="B45" s="19" t="str">
        <x:v>pos.main.hold</x:v>
      </x:c>
      <x:c r="C45" s="19" t="str">
        <x:v>Hold main POS sales</x:v>
      </x:c>
      <x:c r="D45" s="19" t="str">
        <x:v>YES</x:v>
      </x:c>
      <x:c r="E45" s="19" t="str">
        <x:v>YES</x:v>
      </x:c>
      <x:c r="F45" s="19" t="str">
        <x:v>YES</x:v>
      </x:c>
      <x:c r="G45" s="19" t="str">
        <x:v>YES</x:v>
      </x:c>
      <x:c r="H45" s="19" t="str">
        <x:v>NO</x:v>
      </x:c>
      <x:c r="I45" s="19" t="str">
        <x:v>NO</x:v>
      </x:c>
    </x:row>
    <x:row r="46">
      <x:c r="A46" s="19" t="str">
        <x:v>Main POS</x:v>
      </x:c>
      <x:c r="B46" s="19" t="str">
        <x:v>pos.main.quotation</x:v>
      </x:c>
      <x:c r="C46" s="19" t="str">
        <x:v>Create quotations</x:v>
      </x:c>
      <x:c r="D46" s="19" t="str">
        <x:v>YES</x:v>
      </x:c>
      <x:c r="E46" s="19" t="str">
        <x:v>YES</x:v>
      </x:c>
      <x:c r="F46" s="19" t="str">
        <x:v>YES</x:v>
      </x:c>
      <x:c r="G46" s="19" t="str">
        <x:v>YES</x:v>
      </x:c>
      <x:c r="H46" s="19" t="str">
        <x:v>NO</x:v>
      </x:c>
      <x:c r="I46" s="19" t="str">
        <x:v>NO</x:v>
      </x:c>
    </x:row>
    <x:row r="47">
      <x:c r="A47" s="19" t="str">
        <x:v>Main POS</x:v>
      </x:c>
      <x:c r="B47" s="19" t="str">
        <x:v>pos.main.discount</x:v>
      </x:c>
      <x:c r="C47" s="19" t="str">
        <x:v>Apply main POS discounts</x:v>
      </x:c>
      <x:c r="D47" s="19" t="str">
        <x:v>YES</x:v>
      </x:c>
      <x:c r="E47" s="19" t="str">
        <x:v>YES</x:v>
      </x:c>
      <x:c r="F47" s="19" t="str">
        <x:v>YES</x:v>
      </x:c>
      <x:c r="G47" s="19" t="str">
        <x:v>YES</x:v>
      </x:c>
      <x:c r="H47" s="19" t="str">
        <x:v>NO</x:v>
      </x:c>
      <x:c r="I47" s="19" t="str">
        <x:v>NO</x:v>
      </x:c>
    </x:row>
    <x:row r="48">
      <x:c r="A48" s="19" t="str">
        <x:v>Main POS</x:v>
      </x:c>
      <x:c r="B48" s="19" t="str">
        <x:v>pos.main.change_price</x:v>
      </x:c>
      <x:c r="C48" s="19" t="str">
        <x:v>Change main POS prices</x:v>
      </x:c>
      <x:c r="D48" s="19" t="str">
        <x:v>YES</x:v>
      </x:c>
      <x:c r="E48" s="19" t="str">
        <x:v>YES</x:v>
      </x:c>
      <x:c r="F48" s="19" t="str">
        <x:v>YES</x:v>
      </x:c>
      <x:c r="G48" s="19" t="str">
        <x:v>YES</x:v>
      </x:c>
      <x:c r="H48" s="19" t="str">
        <x:v>NO</x:v>
      </x:c>
      <x:c r="I48" s="19" t="str">
        <x:v>NO</x:v>
      </x:c>
    </x:row>
    <x:row r="49">
      <x:c r="A49" s="19" t="str">
        <x:v>Remnant POS</x:v>
      </x:c>
      <x:c r="B49" s="19" t="str">
        <x:v>pos.remnant.access</x:v>
      </x:c>
      <x:c r="C49" s="19" t="str">
        <x:v>Access remnant POS</x:v>
      </x:c>
      <x:c r="D49" s="19" t="str">
        <x:v>YES</x:v>
      </x:c>
      <x:c r="E49" s="19" t="str">
        <x:v>YES</x:v>
      </x:c>
      <x:c r="F49" s="19" t="str">
        <x:v>YES</x:v>
      </x:c>
      <x:c r="G49" s="19" t="str">
        <x:v>YES</x:v>
      </x:c>
      <x:c r="H49" s="19" t="str">
        <x:v>NO</x:v>
      </x:c>
      <x:c r="I49" s="19" t="str">
        <x:v>NO</x:v>
      </x:c>
    </x:row>
    <x:row r="50">
      <x:c r="A50" s="19" t="str">
        <x:v>Remnant POS</x:v>
      </x:c>
      <x:c r="B50" s="19" t="str">
        <x:v>pos.remnant.sell</x:v>
      </x:c>
      <x:c r="C50" s="19" t="str">
        <x:v>Complete remnant sales</x:v>
      </x:c>
      <x:c r="D50" s="19" t="str">
        <x:v>YES</x:v>
      </x:c>
      <x:c r="E50" s="19" t="str">
        <x:v>YES</x:v>
      </x:c>
      <x:c r="F50" s="19" t="str">
        <x:v>YES</x:v>
      </x:c>
      <x:c r="G50" s="19" t="str">
        <x:v>YES</x:v>
      </x:c>
      <x:c r="H50" s="19" t="str">
        <x:v>NO</x:v>
      </x:c>
      <x:c r="I50" s="19" t="str">
        <x:v>NO</x:v>
      </x:c>
    </x:row>
    <x:row r="51">
      <x:c r="A51" s="19" t="str">
        <x:v>Remnant POS</x:v>
      </x:c>
      <x:c r="B51" s="19" t="str">
        <x:v>pos.remnant.discount</x:v>
      </x:c>
      <x:c r="C51" s="19" t="str">
        <x:v>Apply remnant discounts</x:v>
      </x:c>
      <x:c r="D51" s="19" t="str">
        <x:v>YES</x:v>
      </x:c>
      <x:c r="E51" s="19" t="str">
        <x:v>YES</x:v>
      </x:c>
      <x:c r="F51" s="19" t="str">
        <x:v>YES</x:v>
      </x:c>
      <x:c r="G51" s="19" t="str">
        <x:v>YES</x:v>
      </x:c>
      <x:c r="H51" s="19" t="str">
        <x:v>NO</x:v>
      </x:c>
      <x:c r="I51" s="19" t="str">
        <x:v>NO</x:v>
      </x:c>
    </x:row>
    <x:row r="52">
      <x:c r="A52" s="19" t="str">
        <x:v>Remnant POS</x:v>
      </x:c>
      <x:c r="B52" s="19" t="str">
        <x:v>pos.remnant.sell_below_cost</x:v>
      </x:c>
      <x:c r="C52" s="19" t="str">
        <x:v>Sell remnants below cost</x:v>
      </x:c>
      <x:c r="D52" s="19" t="str">
        <x:v>YES</x:v>
      </x:c>
      <x:c r="E52" s="19" t="str">
        <x:v>YES</x:v>
      </x:c>
      <x:c r="F52" s="19" t="str">
        <x:v>YES</x:v>
      </x:c>
      <x:c r="G52" s="19" t="str">
        <x:v>NO</x:v>
      </x:c>
      <x:c r="H52" s="19" t="str">
        <x:v>NO</x:v>
      </x:c>
      <x:c r="I52" s="19" t="str">
        <x:v>NO</x:v>
      </x:c>
    </x:row>
    <x:row r="53">
      <x:c r="A53" s="19" t="str">
        <x:v>Inventory</x:v>
      </x:c>
      <x:c r="B53" s="19" t="str">
        <x:v>inventory.view</x:v>
      </x:c>
      <x:c r="C53" s="19" t="str">
        <x:v>View inventory</x:v>
      </x:c>
      <x:c r="D53" s="19" t="str">
        <x:v>YES</x:v>
      </x:c>
      <x:c r="E53" s="19" t="str">
        <x:v>YES</x:v>
      </x:c>
      <x:c r="F53" s="19" t="str">
        <x:v>YES</x:v>
      </x:c>
      <x:c r="G53" s="19" t="str">
        <x:v>NO</x:v>
      </x:c>
      <x:c r="H53" s="19" t="str">
        <x:v>YES</x:v>
      </x:c>
      <x:c r="I53" s="19" t="str">
        <x:v>YES</x:v>
      </x:c>
    </x:row>
    <x:row r="54">
      <x:c r="A54" s="19" t="str">
        <x:v>Inventory</x:v>
      </x:c>
      <x:c r="B54" s="19" t="str">
        <x:v>inventory.view_cost</x:v>
      </x:c>
      <x:c r="C54" s="19" t="str">
        <x:v>View inventory costs</x:v>
      </x:c>
      <x:c r="D54" s="19" t="str">
        <x:v>YES</x:v>
      </x:c>
      <x:c r="E54" s="19" t="str">
        <x:v>YES</x:v>
      </x:c>
      <x:c r="F54" s="19" t="str">
        <x:v>YES</x:v>
      </x:c>
      <x:c r="G54" s="19" t="str">
        <x:v>NO</x:v>
      </x:c>
      <x:c r="H54" s="19" t="str">
        <x:v>YES</x:v>
      </x:c>
      <x:c r="I54" s="19" t="str">
        <x:v>NO</x:v>
      </x:c>
    </x:row>
    <x:row r="55">
      <x:c r="A55" s="19" t="str">
        <x:v>Inventory</x:v>
      </x:c>
      <x:c r="B55" s="19" t="str">
        <x:v>inventory.adjust</x:v>
      </x:c>
      <x:c r="C55" s="19" t="str">
        <x:v>Adjust stock</x:v>
      </x:c>
      <x:c r="D55" s="19" t="str">
        <x:v>YES</x:v>
      </x:c>
      <x:c r="E55" s="19" t="str">
        <x:v>YES</x:v>
      </x:c>
      <x:c r="F55" s="19" t="str">
        <x:v>YES</x:v>
      </x:c>
      <x:c r="G55" s="19" t="str">
        <x:v>NO</x:v>
      </x:c>
      <x:c r="H55" s="19" t="str">
        <x:v>YES</x:v>
      </x:c>
      <x:c r="I55" s="19" t="str">
        <x:v>NO</x:v>
      </x:c>
    </x:row>
    <x:row r="56">
      <x:c r="A56" s="19" t="str">
        <x:v>Inventory</x:v>
      </x:c>
      <x:c r="B56" s="19" t="str">
        <x:v>inventory.transfer</x:v>
      </x:c>
      <x:c r="C56" s="19" t="str">
        <x:v>Transfer stock</x:v>
      </x:c>
      <x:c r="D56" s="19" t="str">
        <x:v>YES</x:v>
      </x:c>
      <x:c r="E56" s="19" t="str">
        <x:v>YES</x:v>
      </x:c>
      <x:c r="F56" s="19" t="str">
        <x:v>YES</x:v>
      </x:c>
      <x:c r="G56" s="19" t="str">
        <x:v>NO</x:v>
      </x:c>
      <x:c r="H56" s="19" t="str">
        <x:v>YES</x:v>
      </x:c>
      <x:c r="I56" s="19" t="str">
        <x:v>NO</x:v>
      </x:c>
    </x:row>
    <x:row r="57">
      <x:c r="A57" s="19" t="str">
        <x:v>Inventory</x:v>
      </x:c>
      <x:c r="B57" s="19" t="str">
        <x:v>inventory.remnant_transfer</x:v>
      </x:c>
      <x:c r="C57" s="19" t="str">
        <x:v>Transfer stock to remnants</x:v>
      </x:c>
      <x:c r="D57" s="19" t="str">
        <x:v>YES</x:v>
      </x:c>
      <x:c r="E57" s="19" t="str">
        <x:v>YES</x:v>
      </x:c>
      <x:c r="F57" s="19" t="str">
        <x:v>YES</x:v>
      </x:c>
      <x:c r="G57" s="19" t="str">
        <x:v>NO</x:v>
      </x:c>
      <x:c r="H57" s="19" t="str">
        <x:v>YES</x:v>
      </x:c>
      <x:c r="I57" s="19" t="str">
        <x:v>NO</x:v>
      </x:c>
    </x:row>
    <x:row r="58">
      <x:c r="A58" s="19" t="str">
        <x:v>Inventory</x:v>
      </x:c>
      <x:c r="B58" s="19" t="str">
        <x:v>inventory.write_off</x:v>
      </x:c>
      <x:c r="C58" s="19" t="str">
        <x:v>Write off stock</x:v>
      </x:c>
      <x:c r="D58" s="19" t="str">
        <x:v>YES</x:v>
      </x:c>
      <x:c r="E58" s="19" t="str">
        <x:v>YES</x:v>
      </x:c>
      <x:c r="F58" s="19" t="str">
        <x:v>YES</x:v>
      </x:c>
      <x:c r="G58" s="19" t="str">
        <x:v>NO</x:v>
      </x:c>
      <x:c r="H58" s="19" t="str">
        <x:v>YES</x:v>
      </x:c>
      <x:c r="I58" s="19" t="str">
        <x:v>NO</x:v>
      </x:c>
    </x:row>
    <x:row r="59">
      <x:c r="A59" s="19" t="str">
        <x:v>Customers</x:v>
      </x:c>
      <x:c r="B59" s="19" t="str">
        <x:v>customers.view</x:v>
      </x:c>
      <x:c r="C59" s="19" t="str">
        <x:v>View customers</x:v>
      </x:c>
      <x:c r="D59" s="19" t="str">
        <x:v>YES</x:v>
      </x:c>
      <x:c r="E59" s="19" t="str">
        <x:v>YES</x:v>
      </x:c>
      <x:c r="F59" s="19" t="str">
        <x:v>YES</x:v>
      </x:c>
      <x:c r="G59" s="19" t="str">
        <x:v>YES</x:v>
      </x:c>
      <x:c r="H59" s="19" t="str">
        <x:v>NO</x:v>
      </x:c>
      <x:c r="I59" s="19" t="str">
        <x:v>NO</x:v>
      </x:c>
    </x:row>
    <x:row r="60">
      <x:c r="A60" s="19" t="str">
        <x:v>Customers</x:v>
      </x:c>
      <x:c r="B60" s="19" t="str">
        <x:v>customers.create</x:v>
      </x:c>
      <x:c r="C60" s="19" t="str">
        <x:v>Create customers</x:v>
      </x:c>
      <x:c r="D60" s="19" t="str">
        <x:v>YES</x:v>
      </x:c>
      <x:c r="E60" s="19" t="str">
        <x:v>YES</x:v>
      </x:c>
      <x:c r="F60" s="19" t="str">
        <x:v>YES</x:v>
      </x:c>
      <x:c r="G60" s="19" t="str">
        <x:v>YES</x:v>
      </x:c>
      <x:c r="H60" s="19" t="str">
        <x:v>NO</x:v>
      </x:c>
      <x:c r="I60" s="19" t="str">
        <x:v>NO</x:v>
      </x:c>
    </x:row>
    <x:row r="61">
      <x:c r="A61" s="19" t="str">
        <x:v>Customers</x:v>
      </x:c>
      <x:c r="B61" s="19" t="str">
        <x:v>customers.edit</x:v>
      </x:c>
      <x:c r="C61" s="19" t="str">
        <x:v>Edit customers</x:v>
      </x:c>
      <x:c r="D61" s="19" t="str">
        <x:v>YES</x:v>
      </x:c>
      <x:c r="E61" s="19" t="str">
        <x:v>YES</x:v>
      </x:c>
      <x:c r="F61" s="19" t="str">
        <x:v>YES</x:v>
      </x:c>
      <x:c r="G61" s="19" t="str">
        <x:v>YES</x:v>
      </x:c>
      <x:c r="H61" s="19" t="str">
        <x:v>NO</x:v>
      </x:c>
      <x:c r="I61" s="19" t="str">
        <x:v>NO</x:v>
      </x:c>
    </x:row>
    <x:row r="62">
      <x:c r="A62" s="19" t="str">
        <x:v>Customers</x:v>
      </x:c>
      <x:c r="B62" s="19" t="str">
        <x:v>customers.deactivate</x:v>
      </x:c>
      <x:c r="C62" s="19" t="str">
        <x:v>Activate or deactivate customers</x:v>
      </x:c>
      <x:c r="D62" s="19" t="str">
        <x:v>YES</x:v>
      </x:c>
      <x:c r="E62" s="19" t="str">
        <x:v>YES</x:v>
      </x:c>
      <x:c r="F62" s="19" t="str">
        <x:v>YES</x:v>
      </x:c>
      <x:c r="G62" s="19" t="str">
        <x:v>NO</x:v>
      </x:c>
      <x:c r="H62" s="19" t="str">
        <x:v>NO</x:v>
      </x:c>
      <x:c r="I62" s="19" t="str">
        <x:v>NO</x:v>
      </x:c>
    </x:row>
    <x:row r="63">
      <x:c r="A63" s="19" t="str">
        <x:v>Customers</x:v>
      </x:c>
      <x:c r="B63" s="19" t="str">
        <x:v>customers.pay_due</x:v>
      </x:c>
      <x:c r="C63" s="19" t="str">
        <x:v>Receive customer due payments</x:v>
      </x:c>
      <x:c r="D63" s="19" t="str">
        <x:v>YES</x:v>
      </x:c>
      <x:c r="E63" s="19" t="str">
        <x:v>YES</x:v>
      </x:c>
      <x:c r="F63" s="19" t="str">
        <x:v>YES</x:v>
      </x:c>
      <x:c r="G63" s="19" t="str">
        <x:v>YES</x:v>
      </x:c>
      <x:c r="H63" s="19" t="str">
        <x:v>NO</x:v>
      </x:c>
      <x:c r="I63" s="19" t="str">
        <x:v>NO</x:v>
      </x:c>
    </x:row>
    <x:row r="64">
      <x:c r="A64" s="19" t="str">
        <x:v>Customers</x:v>
      </x:c>
      <x:c r="B64" s="19" t="str">
        <x:v>customers.view_ledger</x:v>
      </x:c>
      <x:c r="C64" s="19" t="str">
        <x:v>View customer ledger</x:v>
      </x:c>
      <x:c r="D64" s="19" t="str">
        <x:v>YES</x:v>
      </x:c>
      <x:c r="E64" s="19" t="str">
        <x:v>YES</x:v>
      </x:c>
      <x:c r="F64" s="19" t="str">
        <x:v>YES</x:v>
      </x:c>
      <x:c r="G64" s="19" t="str">
        <x:v>YES</x:v>
      </x:c>
      <x:c r="H64" s="19" t="str">
        <x:v>NO</x:v>
      </x:c>
      <x:c r="I64" s="19" t="str">
        <x:v>NO</x:v>
      </x:c>
    </x:row>
    <x:row r="65">
      <x:c r="A65" s="19" t="str">
        <x:v>Suppliers</x:v>
      </x:c>
      <x:c r="B65" s="19" t="str">
        <x:v>suppliers.view</x:v>
      </x:c>
      <x:c r="C65" s="19" t="str">
        <x:v>View suppliers</x:v>
      </x:c>
      <x:c r="D65" s="19" t="str">
        <x:v>YES</x:v>
      </x:c>
      <x:c r="E65" s="19" t="str">
        <x:v>YES</x:v>
      </x:c>
      <x:c r="F65" s="19" t="str">
        <x:v>YES</x:v>
      </x:c>
      <x:c r="G65" s="19" t="str">
        <x:v>NO</x:v>
      </x:c>
      <x:c r="H65" s="19" t="str">
        <x:v>YES</x:v>
      </x:c>
      <x:c r="I65" s="19" t="str">
        <x:v>NO</x:v>
      </x:c>
    </x:row>
    <x:row r="66">
      <x:c r="A66" s="19" t="str">
        <x:v>Suppliers</x:v>
      </x:c>
      <x:c r="B66" s="19" t="str">
        <x:v>suppliers.create</x:v>
      </x:c>
      <x:c r="C66" s="19" t="str">
        <x:v>Create suppliers</x:v>
      </x:c>
      <x:c r="D66" s="19" t="str">
        <x:v>YES</x:v>
      </x:c>
      <x:c r="E66" s="19" t="str">
        <x:v>YES</x:v>
      </x:c>
      <x:c r="F66" s="19" t="str">
        <x:v>YES</x:v>
      </x:c>
      <x:c r="G66" s="19" t="str">
        <x:v>NO</x:v>
      </x:c>
      <x:c r="H66" s="19" t="str">
        <x:v>YES</x:v>
      </x:c>
      <x:c r="I66" s="19" t="str">
        <x:v>NO</x:v>
      </x:c>
    </x:row>
    <x:row r="67">
      <x:c r="A67" s="19" t="str">
        <x:v>Suppliers</x:v>
      </x:c>
      <x:c r="B67" s="19" t="str">
        <x:v>suppliers.edit</x:v>
      </x:c>
      <x:c r="C67" s="19" t="str">
        <x:v>Edit suppliers</x:v>
      </x:c>
      <x:c r="D67" s="19" t="str">
        <x:v>YES</x:v>
      </x:c>
      <x:c r="E67" s="19" t="str">
        <x:v>YES</x:v>
      </x:c>
      <x:c r="F67" s="19" t="str">
        <x:v>YES</x:v>
      </x:c>
      <x:c r="G67" s="19" t="str">
        <x:v>NO</x:v>
      </x:c>
      <x:c r="H67" s="19" t="str">
        <x:v>YES</x:v>
      </x:c>
      <x:c r="I67" s="19" t="str">
        <x:v>NO</x:v>
      </x:c>
    </x:row>
    <x:row r="68">
      <x:c r="A68" s="19" t="str">
        <x:v>Suppliers</x:v>
      </x:c>
      <x:c r="B68" s="19" t="str">
        <x:v>suppliers.deactivate</x:v>
      </x:c>
      <x:c r="C68" s="19" t="str">
        <x:v>Activate or deactivate suppliers</x:v>
      </x:c>
      <x:c r="D68" s="19" t="str">
        <x:v>YES</x:v>
      </x:c>
      <x:c r="E68" s="19" t="str">
        <x:v>YES</x:v>
      </x:c>
      <x:c r="F68" s="19" t="str">
        <x:v>YES</x:v>
      </x:c>
      <x:c r="G68" s="19" t="str">
        <x:v>NO</x:v>
      </x:c>
      <x:c r="H68" s="19" t="str">
        <x:v>NO</x:v>
      </x:c>
      <x:c r="I68" s="19" t="str">
        <x:v>NO</x:v>
      </x:c>
    </x:row>
    <x:row r="69">
      <x:c r="A69" s="19" t="str">
        <x:v>Suppliers</x:v>
      </x:c>
      <x:c r="B69" s="19" t="str">
        <x:v>suppliers.pay</x:v>
      </x:c>
      <x:c r="C69" s="19" t="str">
        <x:v>Pay suppliers</x:v>
      </x:c>
      <x:c r="D69" s="19" t="str">
        <x:v>YES</x:v>
      </x:c>
      <x:c r="E69" s="19" t="str">
        <x:v>YES</x:v>
      </x:c>
      <x:c r="F69" s="19" t="str">
        <x:v>YES</x:v>
      </x:c>
      <x:c r="G69" s="19" t="str">
        <x:v>NO</x:v>
      </x:c>
      <x:c r="H69" s="19" t="str">
        <x:v>NO</x:v>
      </x:c>
      <x:c r="I69" s="19" t="str">
        <x:v>NO</x:v>
      </x:c>
    </x:row>
    <x:row r="70">
      <x:c r="A70" s="19" t="str">
        <x:v>Suppliers</x:v>
      </x:c>
      <x:c r="B70" s="19" t="str">
        <x:v>suppliers.view_ledger</x:v>
      </x:c>
      <x:c r="C70" s="19" t="str">
        <x:v>View supplier ledger</x:v>
      </x:c>
      <x:c r="D70" s="19" t="str">
        <x:v>YES</x:v>
      </x:c>
      <x:c r="E70" s="19" t="str">
        <x:v>YES</x:v>
      </x:c>
      <x:c r="F70" s="19" t="str">
        <x:v>YES</x:v>
      </x:c>
      <x:c r="G70" s="19" t="str">
        <x:v>NO</x:v>
      </x:c>
      <x:c r="H70" s="19" t="str">
        <x:v>YES</x:v>
      </x:c>
      <x:c r="I70" s="19" t="str">
        <x:v>NO</x:v>
      </x:c>
    </x:row>
    <x:row r="71">
      <x:c r="A71" s="19" t="str">
        <x:v>Expenses</x:v>
      </x:c>
      <x:c r="B71" s="19" t="str">
        <x:v>expenses.view</x:v>
      </x:c>
      <x:c r="C71" s="19" t="str">
        <x:v>View expenses</x:v>
      </x:c>
      <x:c r="D71" s="19" t="str">
        <x:v>YES</x:v>
      </x:c>
      <x:c r="E71" s="19" t="str">
        <x:v>YES</x:v>
      </x:c>
      <x:c r="F71" s="19" t="str">
        <x:v>YES</x:v>
      </x:c>
      <x:c r="G71" s="19" t="str">
        <x:v>NO</x:v>
      </x:c>
      <x:c r="H71" s="19" t="str">
        <x:v>NO</x:v>
      </x:c>
      <x:c r="I71" s="19" t="str">
        <x:v>NO</x:v>
      </x:c>
    </x:row>
    <x:row r="72">
      <x:c r="A72" s="19" t="str">
        <x:v>Expenses</x:v>
      </x:c>
      <x:c r="B72" s="19" t="str">
        <x:v>expenses.create</x:v>
      </x:c>
      <x:c r="C72" s="19" t="str">
        <x:v>Create expenses</x:v>
      </x:c>
      <x:c r="D72" s="19" t="str">
        <x:v>YES</x:v>
      </x:c>
      <x:c r="E72" s="19" t="str">
        <x:v>YES</x:v>
      </x:c>
      <x:c r="F72" s="19" t="str">
        <x:v>YES</x:v>
      </x:c>
      <x:c r="G72" s="19" t="str">
        <x:v>NO</x:v>
      </x:c>
      <x:c r="H72" s="19" t="str">
        <x:v>NO</x:v>
      </x:c>
      <x:c r="I72" s="19" t="str">
        <x:v>NO</x:v>
      </x:c>
    </x:row>
    <x:row r="73">
      <x:c r="A73" s="19" t="str">
        <x:v>Expenses</x:v>
      </x:c>
      <x:c r="B73" s="19" t="str">
        <x:v>expenses.edit</x:v>
      </x:c>
      <x:c r="C73" s="19" t="str">
        <x:v>Edit expenses</x:v>
      </x:c>
      <x:c r="D73" s="19" t="str">
        <x:v>YES</x:v>
      </x:c>
      <x:c r="E73" s="19" t="str">
        <x:v>YES</x:v>
      </x:c>
      <x:c r="F73" s="19" t="str">
        <x:v>YES</x:v>
      </x:c>
      <x:c r="G73" s="19" t="str">
        <x:v>NO</x:v>
      </x:c>
      <x:c r="H73" s="19" t="str">
        <x:v>NO</x:v>
      </x:c>
      <x:c r="I73" s="19" t="str">
        <x:v>NO</x:v>
      </x:c>
    </x:row>
    <x:row r="74">
      <x:c r="A74" s="19" t="str">
        <x:v>Expenses</x:v>
      </x:c>
      <x:c r="B74" s="19" t="str">
        <x:v>expenses.delete</x:v>
      </x:c>
      <x:c r="C74" s="19" t="str">
        <x:v>Delete expenses</x:v>
      </x:c>
      <x:c r="D74" s="19" t="str">
        <x:v>YES</x:v>
      </x:c>
      <x:c r="E74" s="19" t="str">
        <x:v>YES</x:v>
      </x:c>
      <x:c r="F74" s="19" t="str">
        <x:v>YES</x:v>
      </x:c>
      <x:c r="G74" s="19" t="str">
        <x:v>NO</x:v>
      </x:c>
      <x:c r="H74" s="19" t="str">
        <x:v>NO</x:v>
      </x:c>
      <x:c r="I74" s="19" t="str">
        <x:v>NO</x:v>
      </x:c>
    </x:row>
    <x:row r="75">
      <x:c r="A75" s="19" t="str">
        <x:v>Expenses</x:v>
      </x:c>
      <x:c r="B75" s="19" t="str">
        <x:v>expense_categories.manage</x:v>
      </x:c>
      <x:c r="C75" s="19" t="str">
        <x:v>Manage expense categories</x:v>
      </x:c>
      <x:c r="D75" s="19" t="str">
        <x:v>YES</x:v>
      </x:c>
      <x:c r="E75" s="19" t="str">
        <x:v>YES</x:v>
      </x:c>
      <x:c r="F75" s="19" t="str">
        <x:v>NO</x:v>
      </x:c>
      <x:c r="G75" s="19" t="str">
        <x:v>NO</x:v>
      </x:c>
      <x:c r="H75" s="19" t="str">
        <x:v>NO</x:v>
      </x:c>
      <x:c r="I75" s="19" t="str">
        <x:v>NO</x:v>
      </x:c>
    </x:row>
    <x:row r="76">
      <x:c r="A76" s="19" t="str">
        <x:v>Cheques</x:v>
      </x:c>
      <x:c r="B76" s="19" t="str">
        <x:v>cheques.view</x:v>
      </x:c>
      <x:c r="C76" s="19" t="str">
        <x:v>View cheques</x:v>
      </x:c>
      <x:c r="D76" s="19" t="str">
        <x:v>YES</x:v>
      </x:c>
      <x:c r="E76" s="19" t="str">
        <x:v>YES</x:v>
      </x:c>
      <x:c r="F76" s="19" t="str">
        <x:v>YES</x:v>
      </x:c>
      <x:c r="G76" s="19" t="str">
        <x:v>YES</x:v>
      </x:c>
      <x:c r="H76" s="19" t="str">
        <x:v>NO</x:v>
      </x:c>
      <x:c r="I76" s="19" t="str">
        <x:v>NO</x:v>
      </x:c>
    </x:row>
    <x:row r="77">
      <x:c r="A77" s="19" t="str">
        <x:v>Cheques</x:v>
      </x:c>
      <x:c r="B77" s="19" t="str">
        <x:v>cheques.receive</x:v>
      </x:c>
      <x:c r="C77" s="19" t="str">
        <x:v>Receive cheques</x:v>
      </x:c>
      <x:c r="D77" s="19" t="str">
        <x:v>YES</x:v>
      </x:c>
      <x:c r="E77" s="19" t="str">
        <x:v>YES</x:v>
      </x:c>
      <x:c r="F77" s="19" t="str">
        <x:v>YES</x:v>
      </x:c>
      <x:c r="G77" s="19" t="str">
        <x:v>YES</x:v>
      </x:c>
      <x:c r="H77" s="19" t="str">
        <x:v>NO</x:v>
      </x:c>
      <x:c r="I77" s="19" t="str">
        <x:v>NO</x:v>
      </x:c>
    </x:row>
    <x:row r="78">
      <x:c r="A78" s="19" t="str">
        <x:v>Cheques</x:v>
      </x:c>
      <x:c r="B78" s="19" t="str">
        <x:v>cheques.issue</x:v>
      </x:c>
      <x:c r="C78" s="19" t="str">
        <x:v>Issue cheques</x:v>
      </x:c>
      <x:c r="D78" s="19" t="str">
        <x:v>YES</x:v>
      </x:c>
      <x:c r="E78" s="19" t="str">
        <x:v>YES</x:v>
      </x:c>
      <x:c r="F78" s="19" t="str">
        <x:v>YES</x:v>
      </x:c>
      <x:c r="G78" s="19" t="str">
        <x:v>NO</x:v>
      </x:c>
      <x:c r="H78" s="19" t="str">
        <x:v>NO</x:v>
      </x:c>
      <x:c r="I78" s="19" t="str">
        <x:v>NO</x:v>
      </x:c>
    </x:row>
    <x:row r="79">
      <x:c r="A79" s="19" t="str">
        <x:v>Cheques</x:v>
      </x:c>
      <x:c r="B79" s="19" t="str">
        <x:v>cheques.endorse</x:v>
      </x:c>
      <x:c r="C79" s="19" t="str">
        <x:v>Endorse cheques</x:v>
      </x:c>
      <x:c r="D79" s="19" t="str">
        <x:v>YES</x:v>
      </x:c>
      <x:c r="E79" s="19" t="str">
        <x:v>YES</x:v>
      </x:c>
      <x:c r="F79" s="19" t="str">
        <x:v>YES</x:v>
      </x:c>
      <x:c r="G79" s="19" t="str">
        <x:v>NO</x:v>
      </x:c>
      <x:c r="H79" s="19" t="str">
        <x:v>NO</x:v>
      </x:c>
      <x:c r="I79" s="19" t="str">
        <x:v>NO</x:v>
      </x:c>
    </x:row>
    <x:row r="80">
      <x:c r="A80" s="19" t="str">
        <x:v>Cheques</x:v>
      </x:c>
      <x:c r="B80" s="19" t="str">
        <x:v>cheques.pass</x:v>
      </x:c>
      <x:c r="C80" s="19" t="str">
        <x:v>Pass or clear cheques</x:v>
      </x:c>
      <x:c r="D80" s="19" t="str">
        <x:v>YES</x:v>
      </x:c>
      <x:c r="E80" s="19" t="str">
        <x:v>YES</x:v>
      </x:c>
      <x:c r="F80" s="19" t="str">
        <x:v>YES</x:v>
      </x:c>
      <x:c r="G80" s="19" t="str">
        <x:v>NO</x:v>
      </x:c>
      <x:c r="H80" s="19" t="str">
        <x:v>NO</x:v>
      </x:c>
      <x:c r="I80" s="19" t="str">
        <x:v>NO</x:v>
      </x:c>
    </x:row>
    <x:row r="81">
      <x:c r="A81" s="19" t="str">
        <x:v>Cheques</x:v>
      </x:c>
      <x:c r="B81" s="19" t="str">
        <x:v>cheques.return</x:v>
      </x:c>
      <x:c r="C81" s="19" t="str">
        <x:v>Return cheques</x:v>
      </x:c>
      <x:c r="D81" s="19" t="str">
        <x:v>YES</x:v>
      </x:c>
      <x:c r="E81" s="19" t="str">
        <x:v>YES</x:v>
      </x:c>
      <x:c r="F81" s="19" t="str">
        <x:v>YES</x:v>
      </x:c>
      <x:c r="G81" s="19" t="str">
        <x:v>NO</x:v>
      </x:c>
      <x:c r="H81" s="19" t="str">
        <x:v>NO</x:v>
      </x:c>
      <x:c r="I81" s="19" t="str">
        <x:v>NO</x:v>
      </x:c>
    </x:row>
    <x:row r="82">
      <x:c r="A82" s="19" t="str">
        <x:v>Cheques</x:v>
      </x:c>
      <x:c r="B82" s="19" t="str">
        <x:v>cheques.cancel</x:v>
      </x:c>
      <x:c r="C82" s="19" t="str">
        <x:v>Cancel cheques</x:v>
      </x:c>
      <x:c r="D82" s="19" t="str">
        <x:v>YES</x:v>
      </x:c>
      <x:c r="E82" s="19" t="str">
        <x:v>YES</x:v>
      </x:c>
      <x:c r="F82" s="19" t="str">
        <x:v>YES</x:v>
      </x:c>
      <x:c r="G82" s="19" t="str">
        <x:v>NO</x:v>
      </x:c>
      <x:c r="H82" s="19" t="str">
        <x:v>NO</x:v>
      </x:c>
      <x:c r="I82" s="19" t="str">
        <x:v>NO</x:v>
      </x:c>
    </x:row>
    <x:row r="83">
      <x:c r="A83" s="19" t="str">
        <x:v>Reports</x:v>
      </x:c>
      <x:c r="B83" s="19" t="str">
        <x:v>reports.sales</x:v>
      </x:c>
      <x:c r="C83" s="19" t="str">
        <x:v>View sales report</x:v>
      </x:c>
      <x:c r="D83" s="19" t="str">
        <x:v>YES</x:v>
      </x:c>
      <x:c r="E83" s="19" t="str">
        <x:v>YES</x:v>
      </x:c>
      <x:c r="F83" s="19" t="str">
        <x:v>YES</x:v>
      </x:c>
      <x:c r="G83" s="19" t="str">
        <x:v>NO</x:v>
      </x:c>
      <x:c r="H83" s="19" t="str">
        <x:v>NO</x:v>
      </x:c>
      <x:c r="I83" s="19" t="str">
        <x:v>NO</x:v>
      </x:c>
    </x:row>
    <x:row r="84">
      <x:c r="A84" s="19" t="str">
        <x:v>Reports</x:v>
      </x:c>
      <x:c r="B84" s="19" t="str">
        <x:v>reports.profit_loss</x:v>
      </x:c>
      <x:c r="C84" s="19" t="str">
        <x:v>View profit and loss report</x:v>
      </x:c>
      <x:c r="D84" s="19" t="str">
        <x:v>YES</x:v>
      </x:c>
      <x:c r="E84" s="19" t="str">
        <x:v>YES</x:v>
      </x:c>
      <x:c r="F84" s="19" t="str">
        <x:v>YES</x:v>
      </x:c>
      <x:c r="G84" s="19" t="str">
        <x:v>NO</x:v>
      </x:c>
      <x:c r="H84" s="19" t="str">
        <x:v>NO</x:v>
      </x:c>
      <x:c r="I84" s="19" t="str">
        <x:v>NO</x:v>
      </x:c>
    </x:row>
    <x:row r="85">
      <x:c r="A85" s="19" t="str">
        <x:v>Reports</x:v>
      </x:c>
      <x:c r="B85" s="19" t="str">
        <x:v>reports.stock</x:v>
      </x:c>
      <x:c r="C85" s="19" t="str">
        <x:v>View stock report</x:v>
      </x:c>
      <x:c r="D85" s="19" t="str">
        <x:v>YES</x:v>
      </x:c>
      <x:c r="E85" s="19" t="str">
        <x:v>YES</x:v>
      </x:c>
      <x:c r="F85" s="19" t="str">
        <x:v>YES</x:v>
      </x:c>
      <x:c r="G85" s="19" t="str">
        <x:v>NO</x:v>
      </x:c>
      <x:c r="H85" s="19" t="str">
        <x:v>YES</x:v>
      </x:c>
      <x:c r="I85" s="19" t="str">
        <x:v>NO</x:v>
      </x:c>
    </x:row>
    <x:row r="86">
      <x:c r="A86" s="19" t="str">
        <x:v>Reports</x:v>
      </x:c>
      <x:c r="B86" s="19" t="str">
        <x:v>reports.stock_value</x:v>
      </x:c>
      <x:c r="C86" s="19" t="str">
        <x:v>View stock valuation</x:v>
      </x:c>
      <x:c r="D86" s="19" t="str">
        <x:v>YES</x:v>
      </x:c>
      <x:c r="E86" s="19" t="str">
        <x:v>YES</x:v>
      </x:c>
      <x:c r="F86" s="19" t="str">
        <x:v>YES</x:v>
      </x:c>
      <x:c r="G86" s="19" t="str">
        <x:v>NO</x:v>
      </x:c>
      <x:c r="H86" s="19" t="str">
        <x:v>YES</x:v>
      </x:c>
      <x:c r="I86" s="19" t="str">
        <x:v>NO</x:v>
      </x:c>
    </x:row>
    <x:row r="87">
      <x:c r="A87" s="19" t="str">
        <x:v>Reports</x:v>
      </x:c>
      <x:c r="B87" s="19" t="str">
        <x:v>reports.low_stock</x:v>
      </x:c>
      <x:c r="C87" s="19" t="str">
        <x:v>View low stock report</x:v>
      </x:c>
      <x:c r="D87" s="19" t="str">
        <x:v>YES</x:v>
      </x:c>
      <x:c r="E87" s="19" t="str">
        <x:v>YES</x:v>
      </x:c>
      <x:c r="F87" s="19" t="str">
        <x:v>YES</x:v>
      </x:c>
      <x:c r="G87" s="19" t="str">
        <x:v>NO</x:v>
      </x:c>
      <x:c r="H87" s="19" t="str">
        <x:v>YES</x:v>
      </x:c>
      <x:c r="I87" s="19" t="str">
        <x:v>NO</x:v>
      </x:c>
    </x:row>
    <x:row r="88">
      <x:c r="A88" s="19" t="str">
        <x:v>Reports</x:v>
      </x:c>
      <x:c r="B88" s="19" t="str">
        <x:v>reports.dead_stock</x:v>
      </x:c>
      <x:c r="C88" s="19" t="str">
        <x:v>View dead stock report</x:v>
      </x:c>
      <x:c r="D88" s="19" t="str">
        <x:v>YES</x:v>
      </x:c>
      <x:c r="E88" s="19" t="str">
        <x:v>YES</x:v>
      </x:c>
      <x:c r="F88" s="19" t="str">
        <x:v>YES</x:v>
      </x:c>
      <x:c r="G88" s="19" t="str">
        <x:v>NO</x:v>
      </x:c>
      <x:c r="H88" s="19" t="str">
        <x:v>YES</x:v>
      </x:c>
      <x:c r="I88" s="19" t="str">
        <x:v>NO</x:v>
      </x:c>
    </x:row>
    <x:row r="89">
      <x:c r="A89" s="19" t="str">
        <x:v>Reports</x:v>
      </x:c>
      <x:c r="B89" s="19" t="str">
        <x:v>reports.purchase</x:v>
      </x:c>
      <x:c r="C89" s="19" t="str">
        <x:v>View purchase report</x:v>
      </x:c>
      <x:c r="D89" s="19" t="str">
        <x:v>YES</x:v>
      </x:c>
      <x:c r="E89" s="19" t="str">
        <x:v>YES</x:v>
      </x:c>
      <x:c r="F89" s="19" t="str">
        <x:v>YES</x:v>
      </x:c>
      <x:c r="G89" s="19" t="str">
        <x:v>NO</x:v>
      </x:c>
      <x:c r="H89" s="19" t="str">
        <x:v>YES</x:v>
      </x:c>
      <x:c r="I89" s="19" t="str">
        <x:v>NO</x:v>
      </x:c>
    </x:row>
    <x:row r="90">
      <x:c r="A90" s="19" t="str">
        <x:v>Reports</x:v>
      </x:c>
      <x:c r="B90" s="19" t="str">
        <x:v>reports.expenses</x:v>
      </x:c>
      <x:c r="C90" s="19" t="str">
        <x:v>View expense report</x:v>
      </x:c>
      <x:c r="D90" s="19" t="str">
        <x:v>YES</x:v>
      </x:c>
      <x:c r="E90" s="19" t="str">
        <x:v>YES</x:v>
      </x:c>
      <x:c r="F90" s="19" t="str">
        <x:v>YES</x:v>
      </x:c>
      <x:c r="G90" s="19" t="str">
        <x:v>NO</x:v>
      </x:c>
      <x:c r="H90" s="19" t="str">
        <x:v>NO</x:v>
      </x:c>
      <x:c r="I90" s="19" t="str">
        <x:v>NO</x:v>
      </x:c>
    </x:row>
    <x:row r="91">
      <x:c r="A91" s="19" t="str">
        <x:v>Reports</x:v>
      </x:c>
      <x:c r="B91" s="19" t="str">
        <x:v>reports.customer_due</x:v>
      </x:c>
      <x:c r="C91" s="19" t="str">
        <x:v>View customer due report</x:v>
      </x:c>
      <x:c r="D91" s="19" t="str">
        <x:v>YES</x:v>
      </x:c>
      <x:c r="E91" s="19" t="str">
        <x:v>YES</x:v>
      </x:c>
      <x:c r="F91" s="19" t="str">
        <x:v>YES</x:v>
      </x:c>
      <x:c r="G91" s="19" t="str">
        <x:v>NO</x:v>
      </x:c>
      <x:c r="H91" s="19" t="str">
        <x:v>NO</x:v>
      </x:c>
      <x:c r="I91" s="19" t="str">
        <x:v>NO</x:v>
      </x:c>
    </x:row>
    <x:row r="92">
      <x:c r="A92" s="19" t="str">
        <x:v>Reports</x:v>
      </x:c>
      <x:c r="B92" s="19" t="str">
        <x:v>reports.supplier_due</x:v>
      </x:c>
      <x:c r="C92" s="19" t="str">
        <x:v>View supplier due report</x:v>
      </x:c>
      <x:c r="D92" s="19" t="str">
        <x:v>YES</x:v>
      </x:c>
      <x:c r="E92" s="19" t="str">
        <x:v>YES</x:v>
      </x:c>
      <x:c r="F92" s="19" t="str">
        <x:v>YES</x:v>
      </x:c>
      <x:c r="G92" s="19" t="str">
        <x:v>NO</x:v>
      </x:c>
      <x:c r="H92" s="19" t="str">
        <x:v>NO</x:v>
      </x:c>
      <x:c r="I92" s="19" t="str">
        <x:v>NO</x:v>
      </x:c>
    </x:row>
    <x:row r="93">
      <x:c r="A93" s="19" t="str">
        <x:v>Reports</x:v>
      </x:c>
      <x:c r="B93" s="19" t="str">
        <x:v>reports.cheques</x:v>
      </x:c>
      <x:c r="C93" s="19" t="str">
        <x:v>View cheque report</x:v>
      </x:c>
      <x:c r="D93" s="19" t="str">
        <x:v>YES</x:v>
      </x:c>
      <x:c r="E93" s="19" t="str">
        <x:v>YES</x:v>
      </x:c>
      <x:c r="F93" s="19" t="str">
        <x:v>YES</x:v>
      </x:c>
      <x:c r="G93" s="19" t="str">
        <x:v>NO</x:v>
      </x:c>
      <x:c r="H93" s="19" t="str">
        <x:v>NO</x:v>
      </x:c>
      <x:c r="I93" s="19" t="str">
        <x:v>NO</x:v>
      </x:c>
    </x:row>
    <x:row r="94">
      <x:c r="A94" s="19" t="str">
        <x:v>Reports</x:v>
      </x:c>
      <x:c r="B94" s="19" t="str">
        <x:v>reports.daily_closing</x:v>
      </x:c>
      <x:c r="C94" s="19" t="str">
        <x:v>View daily closing report</x:v>
      </x:c>
      <x:c r="D94" s="19" t="str">
        <x:v>YES</x:v>
      </x:c>
      <x:c r="E94" s="19" t="str">
        <x:v>YES</x:v>
      </x:c>
      <x:c r="F94" s="19" t="str">
        <x:v>YES</x:v>
      </x:c>
      <x:c r="G94" s="19" t="str">
        <x:v>NO</x:v>
      </x:c>
      <x:c r="H94" s="19" t="str">
        <x:v>NO</x:v>
      </x:c>
      <x:c r="I94" s="19" t="str">
        <x:v>NO</x:v>
      </x:c>
    </x:row>
    <x:row r="95">
      <x:c r="A95" s="19" t="str">
        <x:v>Settings</x:v>
      </x:c>
      <x:c r="B95" s="19" t="str">
        <x:v>settings.general</x:v>
      </x:c>
      <x:c r="C95" s="19" t="str">
        <x:v>Manage general settings</x:v>
      </x:c>
      <x:c r="D95" s="19" t="str">
        <x:v>YES</x:v>
      </x:c>
      <x:c r="E95" s="19" t="str">
        <x:v>YES</x:v>
      </x:c>
      <x:c r="F95" s="19" t="str">
        <x:v>YES</x:v>
      </x:c>
      <x:c r="G95" s="19" t="str">
        <x:v>NO</x:v>
      </x:c>
      <x:c r="H95" s="19" t="str">
        <x:v>NO</x:v>
      </x:c>
      <x:c r="I95" s="19" t="str">
        <x:v>NO</x:v>
      </x:c>
    </x:row>
    <x:row r="96">
      <x:c r="A96" s="19" t="str">
        <x:v>Settings</x:v>
      </x:c>
      <x:c r="B96" s="19" t="str">
        <x:v>settings.business</x:v>
      </x:c>
      <x:c r="C96" s="19" t="str">
        <x:v>Manage business settings</x:v>
      </x:c>
      <x:c r="D96" s="19" t="str">
        <x:v>YES</x:v>
      </x:c>
      <x:c r="E96" s="19" t="str">
        <x:v>YES</x:v>
      </x:c>
      <x:c r="F96" s="19" t="str">
        <x:v>NO</x:v>
      </x:c>
      <x:c r="G96" s="19" t="str">
        <x:v>NO</x:v>
      </x:c>
      <x:c r="H96" s="19" t="str">
        <x:v>NO</x:v>
      </x:c>
      <x:c r="I96" s="19" t="str">
        <x:v>NO</x:v>
      </x:c>
    </x:row>
    <x:row r="97">
      <x:c r="A97" s="19" t="str">
        <x:v>Settings</x:v>
      </x:c>
      <x:c r="B97" s="19" t="str">
        <x:v>settings.invoice</x:v>
      </x:c>
      <x:c r="C97" s="19" t="str">
        <x:v>Manage invoice settings</x:v>
      </x:c>
      <x:c r="D97" s="19" t="str">
        <x:v>YES</x:v>
      </x:c>
      <x:c r="E97" s="19" t="str">
        <x:v>YES</x:v>
      </x:c>
      <x:c r="F97" s="19" t="str">
        <x:v>YES</x:v>
      </x:c>
      <x:c r="G97" s="19" t="str">
        <x:v>NO</x:v>
      </x:c>
      <x:c r="H97" s="19" t="str">
        <x:v>NO</x:v>
      </x:c>
      <x:c r="I97" s="19" t="str">
        <x:v>NO</x:v>
      </x:c>
    </x:row>
    <x:row r="98">
      <x:c r="A98" s="19" t="str">
        <x:v>Settings</x:v>
      </x:c>
      <x:c r="B98" s="19" t="str">
        <x:v>settings.pos</x:v>
      </x:c>
      <x:c r="C98" s="19" t="str">
        <x:v>Manage POS settings</x:v>
      </x:c>
      <x:c r="D98" s="19" t="str">
        <x:v>YES</x:v>
      </x:c>
      <x:c r="E98" s="19" t="str">
        <x:v>YES</x:v>
      </x:c>
      <x:c r="F98" s="19" t="str">
        <x:v>YES</x:v>
      </x:c>
      <x:c r="G98" s="19" t="str">
        <x:v>NO</x:v>
      </x:c>
      <x:c r="H98" s="19" t="str">
        <x:v>NO</x:v>
      </x:c>
      <x:c r="I98" s="19" t="str">
        <x:v>NO</x:v>
      </x:c>
    </x:row>
    <x:row r="99">
      <x:c r="A99" s="19" t="str">
        <x:v>Settings</x:v>
      </x:c>
      <x:c r="B99" s="19" t="str">
        <x:v>settings.product</x:v>
      </x:c>
      <x:c r="C99" s="19" t="str">
        <x:v>Manage product settings</x:v>
      </x:c>
      <x:c r="D99" s="19" t="str">
        <x:v>YES</x:v>
      </x:c>
      <x:c r="E99" s="19" t="str">
        <x:v>YES</x:v>
      </x:c>
      <x:c r="F99" s="19" t="str">
        <x:v>YES</x:v>
      </x:c>
      <x:c r="G99" s="19" t="str">
        <x:v>NO</x:v>
      </x:c>
      <x:c r="H99" s="19" t="str">
        <x:v>NO</x:v>
      </x:c>
      <x:c r="I99" s="19" t="str">
        <x:v>NO</x:v>
      </x:c>
    </x:row>
    <x:row r="100">
      <x:c r="A100" s="19" t="str">
        <x:v>Settings</x:v>
      </x:c>
      <x:c r="B100" s="19" t="str">
        <x:v>settings.stock</x:v>
      </x:c>
      <x:c r="C100" s="19" t="str">
        <x:v>Manage stock settings</x:v>
      </x:c>
      <x:c r="D100" s="19" t="str">
        <x:v>YES</x:v>
      </x:c>
      <x:c r="E100" s="19" t="str">
        <x:v>YES</x:v>
      </x:c>
      <x:c r="F100" s="19" t="str">
        <x:v>YES</x:v>
      </x:c>
      <x:c r="G100" s="19" t="str">
        <x:v>NO</x:v>
      </x:c>
      <x:c r="H100" s="19" t="str">
        <x:v>NO</x:v>
      </x:c>
      <x:c r="I100" s="19" t="str">
        <x:v>NO</x:v>
      </x:c>
    </x:row>
    <x:row r="101">
      <x:c r="A101" s="19" t="str">
        <x:v>Settings</x:v>
      </x:c>
      <x:c r="B101" s="19" t="str">
        <x:v>settings.purchase</x:v>
      </x:c>
      <x:c r="C101" s="19" t="str">
        <x:v>Manage purchase settings</x:v>
      </x:c>
      <x:c r="D101" s="19" t="str">
        <x:v>YES</x:v>
      </x:c>
      <x:c r="E101" s="19" t="str">
        <x:v>YES</x:v>
      </x:c>
      <x:c r="F101" s="19" t="str">
        <x:v>YES</x:v>
      </x:c>
      <x:c r="G101" s="19" t="str">
        <x:v>NO</x:v>
      </x:c>
      <x:c r="H101" s="19" t="str">
        <x:v>NO</x:v>
      </x:c>
      <x:c r="I101" s="19" t="str">
        <x:v>NO</x:v>
      </x:c>
    </x:row>
    <x:row r="102">
      <x:c r="A102" s="19" t="str">
        <x:v>Settings</x:v>
      </x:c>
      <x:c r="B102" s="19" t="str">
        <x:v>settings.sales</x:v>
      </x:c>
      <x:c r="C102" s="19" t="str">
        <x:v>Manage sales settings</x:v>
      </x:c>
      <x:c r="D102" s="19" t="str">
        <x:v>YES</x:v>
      </x:c>
      <x:c r="E102" s="19" t="str">
        <x:v>YES</x:v>
      </x:c>
      <x:c r="F102" s="19" t="str">
        <x:v>YES</x:v>
      </x:c>
      <x:c r="G102" s="19" t="str">
        <x:v>NO</x:v>
      </x:c>
      <x:c r="H102" s="19" t="str">
        <x:v>NO</x:v>
      </x:c>
      <x:c r="I102" s="19" t="str">
        <x:v>NO</x:v>
      </x:c>
    </x:row>
    <x:row r="103">
      <x:c r="A103" s="19" t="str">
        <x:v>Settings</x:v>
      </x:c>
      <x:c r="B103" s="19" t="str">
        <x:v>settings.customer</x:v>
      </x:c>
      <x:c r="C103" s="19" t="str">
        <x:v>Manage customer settings</x:v>
      </x:c>
      <x:c r="D103" s="19" t="str">
        <x:v>YES</x:v>
      </x:c>
      <x:c r="E103" s="19" t="str">
        <x:v>YES</x:v>
      </x:c>
      <x:c r="F103" s="19" t="str">
        <x:v>YES</x:v>
      </x:c>
      <x:c r="G103" s="19" t="str">
        <x:v>NO</x:v>
      </x:c>
      <x:c r="H103" s="19" t="str">
        <x:v>NO</x:v>
      </x:c>
      <x:c r="I103" s="19" t="str">
        <x:v>NO</x:v>
      </x:c>
    </x:row>
    <x:row r="104">
      <x:c r="A104" s="19" t="str">
        <x:v>Settings</x:v>
      </x:c>
      <x:c r="B104" s="19" t="str">
        <x:v>settings.supplier</x:v>
      </x:c>
      <x:c r="C104" s="19" t="str">
        <x:v>Manage supplier settings</x:v>
      </x:c>
      <x:c r="D104" s="19" t="str">
        <x:v>YES</x:v>
      </x:c>
      <x:c r="E104" s="19" t="str">
        <x:v>YES</x:v>
      </x:c>
      <x:c r="F104" s="19" t="str">
        <x:v>YES</x:v>
      </x:c>
      <x:c r="G104" s="19" t="str">
        <x:v>NO</x:v>
      </x:c>
      <x:c r="H104" s="19" t="str">
        <x:v>NO</x:v>
      </x:c>
      <x:c r="I104" s="19" t="str">
        <x:v>NO</x:v>
      </x:c>
    </x:row>
    <x:row r="105">
      <x:c r="A105" s="19" t="str">
        <x:v>Settings</x:v>
      </x:c>
      <x:c r="B105" s="19" t="str">
        <x:v>settings.account</x:v>
      </x:c>
      <x:c r="C105" s="19" t="str">
        <x:v>Manage account settings</x:v>
      </x:c>
      <x:c r="D105" s="19" t="str">
        <x:v>YES</x:v>
      </x:c>
      <x:c r="E105" s="19" t="str">
        <x:v>YES</x:v>
      </x:c>
      <x:c r="F105" s="19" t="str">
        <x:v>NO</x:v>
      </x:c>
      <x:c r="G105" s="19" t="str">
        <x:v>NO</x:v>
      </x:c>
      <x:c r="H105" s="19" t="str">
        <x:v>NO</x:v>
      </x:c>
      <x:c r="I105" s="19" t="str">
        <x:v>NO</x:v>
      </x:c>
    </x:row>
    <x:row r="106">
      <x:c r="A106" s="19" t="str">
        <x:v>Settings</x:v>
      </x:c>
      <x:c r="B106" s="19" t="str">
        <x:v>settings.payment_methods</x:v>
      </x:c>
      <x:c r="C106" s="19" t="str">
        <x:v>Manage payment methods</x:v>
      </x:c>
      <x:c r="D106" s="19" t="str">
        <x:v>YES</x:v>
      </x:c>
      <x:c r="E106" s="19" t="str">
        <x:v>YES</x:v>
      </x:c>
      <x:c r="F106" s="19" t="str">
        <x:v>YES</x:v>
      </x:c>
      <x:c r="G106" s="19" t="str">
        <x:v>NO</x:v>
      </x:c>
      <x:c r="H106" s="19" t="str">
        <x:v>NO</x:v>
      </x:c>
      <x:c r="I106" s="19" t="str">
        <x:v>NO</x:v>
      </x:c>
    </x:row>
    <x:row r="107">
      <x:c r="A107" s="19" t="str">
        <x:v>Settings</x:v>
      </x:c>
      <x:c r="B107" s="19" t="str">
        <x:v>settings.sms</x:v>
      </x:c>
      <x:c r="C107" s="19" t="str">
        <x:v>Manage SMS settings</x:v>
      </x:c>
      <x:c r="D107" s="19" t="str">
        <x:v>YES</x:v>
      </x:c>
      <x:c r="E107" s="19" t="str">
        <x:v>YES</x:v>
      </x:c>
      <x:c r="F107" s="19" t="str">
        <x:v>YES</x:v>
      </x:c>
      <x:c r="G107" s="19" t="str">
        <x:v>NO</x:v>
      </x:c>
      <x:c r="H107" s="19" t="str">
        <x:v>NO</x:v>
      </x:c>
      <x:c r="I107" s="19" t="str">
        <x:v>NO</x:v>
      </x:c>
    </x:row>
    <x:row r="108">
      <x:c r="A108" s="19" t="str">
        <x:v>Settings</x:v>
      </x:c>
      <x:c r="B108" s="19" t="str">
        <x:v>settings.report</x:v>
      </x:c>
      <x:c r="C108" s="19" t="str">
        <x:v>Manage report settings</x:v>
      </x:c>
      <x:c r="D108" s="19" t="str">
        <x:v>YES</x:v>
      </x:c>
      <x:c r="E108" s="19" t="str">
        <x:v>YES</x:v>
      </x:c>
      <x:c r="F108" s="19" t="str">
        <x:v>YES</x:v>
      </x:c>
      <x:c r="G108" s="19" t="str">
        <x:v>NO</x:v>
      </x:c>
      <x:c r="H108" s="19" t="str">
        <x:v>NO</x:v>
      </x:c>
      <x:c r="I108" s="19" t="str">
        <x:v>NO</x:v>
      </x:c>
    </x:row>
    <x:row r="109">
      <x:c r="A109" s="19" t="str">
        <x:v>Settings</x:v>
      </x:c>
      <x:c r="B109" s="19" t="str">
        <x:v>settings.backup</x:v>
      </x:c>
      <x:c r="C109" s="19" t="str">
        <x:v>Manage backups</x:v>
      </x:c>
      <x:c r="D109" s="19" t="str">
        <x:v>YES</x:v>
      </x:c>
      <x:c r="E109" s="19" t="str">
        <x:v>NO</x:v>
      </x:c>
      <x:c r="F109" s="19" t="str">
        <x:v>NO</x:v>
      </x:c>
      <x:c r="G109" s="19" t="str">
        <x:v>NO</x:v>
      </x:c>
      <x:c r="H109" s="19" t="str">
        <x:v>NO</x:v>
      </x:c>
      <x:c r="I109" s="19" t="str">
        <x:v>NO</x:v>
      </x:c>
    </x:row>
    <x:row r="110">
      <x:c r="A110" s="19" t="str">
        <x:v>Settings</x:v>
      </x:c>
      <x:c r="B110" s="19" t="str">
        <x:v>settings.security</x:v>
      </x:c>
      <x:c r="C110" s="19" t="str">
        <x:v>Manage security settings</x:v>
      </x:c>
      <x:c r="D110" s="19" t="str">
        <x:v>YES</x:v>
      </x:c>
      <x:c r="E110" s="19" t="str">
        <x:v>NO</x:v>
      </x:c>
      <x:c r="F110" s="19" t="str">
        <x:v>NO</x:v>
      </x:c>
      <x:c r="G110" s="19" t="str">
        <x:v>NO</x:v>
      </x:c>
      <x:c r="H110" s="19" t="str">
        <x:v>NO</x:v>
      </x:c>
      <x:c r="I110" s="19" t="str">
        <x:v>NO</x:v>
      </x:c>
    </x:row>
    <x:row r="111">
      <x:c r="A111" s="19" t="str">
        <x:v>Settings</x:v>
      </x:c>
      <x:c r="B111" s="19" t="str">
        <x:v>settings.audit</x:v>
      </x:c>
      <x:c r="C111" s="19" t="str">
        <x:v>Manage audit settings</x:v>
      </x:c>
      <x:c r="D111" s="19" t="str">
        <x:v>YES</x:v>
      </x:c>
      <x:c r="E111" s="19" t="str">
        <x:v>YES</x:v>
      </x:c>
      <x:c r="F111" s="19" t="str">
        <x:v>NO</x:v>
      </x:c>
      <x:c r="G111" s="19" t="str">
        <x:v>NO</x:v>
      </x:c>
      <x:c r="H111" s="19" t="str">
        <x:v>NO</x:v>
      </x:c>
      <x:c r="I111" s="19" t="str">
        <x:v>NO</x:v>
      </x:c>
    </x:row>
    <x:row r="112">
      <x:c r="A112" s="19" t="str">
        <x:v>Audit</x:v>
      </x:c>
      <x:c r="B112" s="19" t="str">
        <x:v>audit.view</x:v>
      </x:c>
      <x:c r="C112" s="19" t="str">
        <x:v>View audit log</x:v>
      </x:c>
      <x:c r="D112" s="19" t="str">
        <x:v>YES</x:v>
      </x:c>
      <x:c r="E112" s="19" t="str">
        <x:v>YES</x:v>
      </x:c>
      <x:c r="F112" s="19" t="str">
        <x:v>NO</x:v>
      </x:c>
      <x:c r="G112" s="19" t="str">
        <x:v>NO</x:v>
      </x:c>
      <x:c r="H112" s="19" t="str">
        <x:v>NO</x:v>
      </x:c>
      <x:c r="I112" s="19" t="str">
        <x:v>NO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87ddb67ce2a48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43" hidden="0" customWidth="1"/>
    <x:col min="4" max="4" width="16" hidden="0" customWidth="1"/>
    <x:col min="5" max="5" width="16" hidden="0" customWidth="1"/>
    <x:col min="6" max="6" width="42" hidden="0" customWidth="1"/>
    <x:col min="7" max="7" width="42" hidden="0" customWidth="1"/>
    <x:col min="8" max="8" width="12" hidden="0" customWidth="1"/>
    <x:col min="9" max="9" width="12" hidden="0" customWidth="1"/>
  </x:cols>
  <x:sheetData>
    <x:row r="1" ht="34" customHeight="1">
      <x:c r="A1" s="23" t="str">
        <x:v>Bugs Found and Fixed</x:v>
      </x:c>
      <x:c r="B1" s="24"/>
      <x:c r="C1" s="24"/>
      <x:c r="D1" s="24"/>
      <x:c r="E1" s="24"/>
      <x:c r="F1" s="24"/>
      <x:c r="G1" s="24"/>
      <x:c r="H1" s="24"/>
      <x:c r="I1" s="24"/>
    </x:row>
    <x:row r="2" ht="24" customHeight="1">
      <x:c r="A2" s="25" t="str">
        <x:v>12 defects recorded, root-caused, fixed, and retested</x:v>
      </x:c>
      <x:c r="B2" s="26"/>
      <x:c r="C2" s="26"/>
      <x:c r="D2" s="26"/>
      <x:c r="E2" s="26"/>
      <x:c r="F2" s="26"/>
      <x:c r="G2" s="26"/>
      <x:c r="H2" s="26"/>
      <x:c r="I2" s="26"/>
    </x:row>
    <x:row r="3" ht="30" customHeight="1">
      <x:c r="A3" s="27" t="str">
        <x:v>Bug ID</x:v>
      </x:c>
      <x:c r="B3" s="27" t="str">
        <x:v>Module</x:v>
      </x:c>
      <x:c r="C3" s="27" t="str">
        <x:v>Description</x:v>
      </x:c>
      <x:c r="D3" s="27" t="str">
        <x:v>Severity</x:v>
      </x:c>
      <x:c r="E3" s="27" t="str">
        <x:v>Screenshot</x:v>
      </x:c>
      <x:c r="F3" s="27" t="str">
        <x:v>Root Cause</x:v>
      </x:c>
      <x:c r="G3" s="27" t="str">
        <x:v>Fix</x:v>
      </x:c>
      <x:c r="H3" s="27" t="str">
        <x:v>Retest</x:v>
      </x:c>
      <x:c r="I3" s="27" t="str">
        <x:v>Status</x:v>
      </x:c>
    </x:row>
    <x:row r="4">
      <x:c r="A4" s="19" t="str">
        <x:v>BUG-001</x:v>
      </x:c>
      <x:c r="B4" s="19" t="str">
        <x:v>Products / Routing</x:v>
      </x:c>
      <x:c r="C4" s="19" t="str">
        <x:v>Create-product URL was swallowed by the dynamic show route.</x:v>
      </x:c>
      <x:c r="D4" s="19" t="str">
        <x:v>High</x:v>
      </x:c>
      <x:c r="E4" s="19" t="str">
        <x:v>product-create-desktop.png</x:v>
      </x:c>
      <x:c r="F4" s="19" t="str">
        <x:v>Resource route registration order.</x:v>
      </x:c>
      <x:c r="G4" s="19" t="str">
        <x:v>Registered create/store routes before dynamic product routes.</x:v>
      </x:c>
      <x:c r="H4" s="19" t="str">
        <x:v>PASS</x:v>
      </x:c>
      <x:c r="I4" s="19" t="str">
        <x:v>FIXED</x:v>
      </x:c>
    </x:row>
    <x:row r="5">
      <x:c r="A5" s="19" t="str">
        <x:v>BUG-002</x:v>
      </x:c>
      <x:c r="B5" s="19" t="str">
        <x:v>Purchases</x:v>
      </x:c>
      <x:c r="C5" s="19" t="str">
        <x:v>Purchase service rejected legacy supplier-unit-cost callers.</x:v>
      </x:c>
      <x:c r="D5" s="19" t="str">
        <x:v>High</x:v>
      </x:c>
      <x:c r="E5" s="19" t="str"/>
      <x:c r="F5" s="19" t="str">
        <x:v>Cost input key regression.</x:v>
      </x:c>
      <x:c r="G5" s="19" t="str">
        <x:v>Added safe system_unit_cost → supplier_unit_cost fallback.</x:v>
      </x:c>
      <x:c r="H5" s="19" t="str">
        <x:v>PASS</x:v>
      </x:c>
      <x:c r="I5" s="19" t="str">
        <x:v>FIXED</x:v>
      </x:c>
    </x:row>
    <x:row r="6">
      <x:c r="A6" s="19" t="str">
        <x:v>BUG-003</x:v>
      </x:c>
      <x:c r="B6" s="19" t="str">
        <x:v>Products</x:v>
      </x:c>
      <x:c r="C6" s="19" t="str">
        <x:v>Raw Alpine component source appeared on the create page.</x:v>
      </x:c>
      <x:c r="D6" s="19" t="str">
        <x:v>High</x:v>
      </x:c>
      <x:c r="E6" s="19" t="str">
        <x:v>product-create-desktop.png</x:v>
      </x:c>
      <x:c r="F6" s="19" t="str">
        <x:v>Malformed Blade/HTML script boundary.</x:v>
      </x:c>
      <x:c r="G6" s="19" t="str">
        <x:v>Repaired CSP-safe deferred Alpine component markup.</x:v>
      </x:c>
      <x:c r="H6" s="19" t="str">
        <x:v>PASS</x:v>
      </x:c>
      <x:c r="I6" s="19" t="str">
        <x:v>FIXED</x:v>
      </x:c>
    </x:row>
    <x:row r="7">
      <x:c r="A7" s="19" t="str">
        <x:v>BUG-004</x:v>
      </x:c>
      <x:c r="B7" s="19" t="str">
        <x:v>UI Runtime</x:v>
      </x:c>
      <x:c r="C7" s="19" t="str">
        <x:v>Alpine x-collapse plugin warnings flooded the browser console.</x:v>
      </x:c>
      <x:c r="D7" s="19" t="str">
        <x:v>Medium</x:v>
      </x:c>
      <x:c r="E7" s="19" t="str"/>
      <x:c r="F7" s="19" t="str">
        <x:v>Collapse plugin was not registered.</x:v>
      </x:c>
      <x:c r="G7" s="19" t="str">
        <x:v>Registered the Alpine collapse plugin before startup.</x:v>
      </x:c>
      <x:c r="H7" s="19" t="str">
        <x:v>PASS</x:v>
      </x:c>
      <x:c r="I7" s="19" t="str">
        <x:v>FIXED</x:v>
      </x:c>
    </x:row>
    <x:row r="8">
      <x:c r="A8" s="19" t="str">
        <x:v>BUG-005</x:v>
      </x:c>
      <x:c r="B8" s="19" t="str">
        <x:v>Security / CSP</x:v>
      </x:c>
      <x:c r="C8" s="19" t="str">
        <x:v>Runtime attempted eval under Content Security Policy.</x:v>
      </x:c>
      <x:c r="D8" s="19" t="str">
        <x:v>High</x:v>
      </x:c>
      <x:c r="E8" s="19" t="str"/>
      <x:c r="F8" s="19" t="str">
        <x:v>Non-CSP Alpine expression compilation.</x:v>
      </x:c>
      <x:c r="G8" s="19" t="str">
        <x:v>Switched to CSP-compatible registered component behavior.</x:v>
      </x:c>
      <x:c r="H8" s="19" t="str">
        <x:v>PASS</x:v>
      </x:c>
      <x:c r="I8" s="19" t="str">
        <x:v>FIXED</x:v>
      </x:c>
    </x:row>
    <x:row r="9">
      <x:c r="A9" s="19" t="str">
        <x:v>BUG-006</x:v>
      </x:c>
      <x:c r="B9" s="19" t="str">
        <x:v>Product Create</x:v>
      </x:c>
      <x:c r="C9" s="19" t="str">
        <x:v>Hidden category modal required input prevented product submission.</x:v>
      </x:c>
      <x:c r="D9" s="19" t="str">
        <x:v>High</x:v>
      </x:c>
      <x:c r="E9" s="19" t="str">
        <x:v>product-create-desktop.png</x:v>
      </x:c>
      <x:c r="F9" s="19" t="str">
        <x:v>Native required validation on a hidden modal field.</x:v>
      </x:c>
      <x:c r="G9" s="19" t="str">
        <x:v>Removed hidden native blocking and retained explicit modal validation.</x:v>
      </x:c>
      <x:c r="H9" s="19" t="str">
        <x:v>PASS</x:v>
      </x:c>
      <x:c r="I9" s="19" t="str">
        <x:v>FIXED</x:v>
      </x:c>
    </x:row>
    <x:row r="10">
      <x:c r="A10" s="19" t="str">
        <x:v>BUG-007</x:v>
      </x:c>
      <x:c r="B10" s="19" t="str">
        <x:v>Inventory</x:v>
      </x:c>
      <x:c r="C10" s="19" t="str">
        <x:v>Last-sale aggregate caused a live MySQL 500 error.</x:v>
      </x:c>
      <x:c r="D10" s="19" t="str">
        <x:v>High</x:v>
      </x:c>
      <x:c r="E10" s="19" t="str">
        <x:v>inventory-desktop.png</x:v>
      </x:c>
      <x:c r="F10" s="19" t="str">
        <x:v>Aggregate expression was plucked without a stable alias.</x:v>
      </x:c>
      <x:c r="G10" s="19" t="str">
        <x:v>Selected MAX(sold_at) as sold_at and plucked the alias; added regression coverage.</x:v>
      </x:c>
      <x:c r="H10" s="19" t="str">
        <x:v>PASS</x:v>
      </x:c>
      <x:c r="I10" s="19" t="str">
        <x:v>FIXED</x:v>
      </x:c>
    </x:row>
    <x:row r="11">
      <x:c r="A11" s="19" t="str">
        <x:v>BUG-008</x:v>
      </x:c>
      <x:c r="B11" s="19" t="str">
        <x:v>Reports</x:v>
      </x:c>
      <x:c r="C11" s="19" t="str">
        <x:v>Low-stock report failed on cross-database HAVING behavior.</x:v>
      </x:c>
      <x:c r="D11" s="19" t="str">
        <x:v>High</x:v>
      </x:c>
      <x:c r="E11" s="19" t="str">
        <x:v>reports-desktop.png</x:v>
      </x:c>
      <x:c r="F11" s="19" t="str">
        <x:v>HAVING was applied to a non-aggregate portability query.</x:v>
      </x:c>
      <x:c r="G11" s="19" t="str">
        <x:v>Replaced HAVING with portable correlated WHERE subqueries.</x:v>
      </x:c>
      <x:c r="H11" s="19" t="str">
        <x:v>PASS</x:v>
      </x:c>
      <x:c r="I11" s="19" t="str">
        <x:v>FIXED</x:v>
      </x:c>
    </x:row>
    <x:row r="12">
      <x:c r="A12" s="19" t="str">
        <x:v>BUG-009</x:v>
      </x:c>
      <x:c r="B12" s="19" t="str">
        <x:v>Routing</x:v>
      </x:c>
      <x:c r="C12" s="19" t="str">
        <x:v>Route listing failed because BrandController did not exist.</x:v>
      </x:c>
      <x:c r="D12" s="19" t="str">
        <x:v>High</x:v>
      </x:c>
      <x:c r="E12" s="19" t="str"/>
      <x:c r="F12" s="19" t="str">
        <x:v>Stale resource route.</x:v>
      </x:c>
      <x:c r="G12" s="19" t="str">
        <x:v>Removed the invalid resource registration and retained working brand routes.</x:v>
      </x:c>
      <x:c r="H12" s="19" t="str">
        <x:v>PASS</x:v>
      </x:c>
      <x:c r="I12" s="19" t="str">
        <x:v>FIXED</x:v>
      </x:c>
    </x:row>
    <x:row r="13">
      <x:c r="A13" s="19" t="str">
        <x:v>BUG-010</x:v>
      </x:c>
      <x:c r="B13" s="19" t="str">
        <x:v>Reports</x:v>
      </x:c>
      <x:c r="C13" s="19" t="str">
        <x:v>Supplier Due report and PDF export were missing.</x:v>
      </x:c>
      <x:c r="D13" s="19" t="str">
        <x:v>Medium</x:v>
      </x:c>
      <x:c r="E13" s="19" t="str">
        <x:v>supplier-due-desktop.png</x:v>
      </x:c>
      <x:c r="F13" s="19" t="str">
        <x:v>Module not implemented.</x:v>
      </x:c>
      <x:c r="G13" s="19" t="str">
        <x:v>Added permission-protected report, table, and PDF export.</x:v>
      </x:c>
      <x:c r="H13" s="19" t="str">
        <x:v>PASS</x:v>
      </x:c>
      <x:c r="I13" s="19" t="str">
        <x:v>FIXED</x:v>
      </x:c>
    </x:row>
    <x:row r="14">
      <x:c r="A14" s="19" t="str">
        <x:v>BUG-011</x:v>
      </x:c>
      <x:c r="B14" s="19" t="str">
        <x:v>Routing</x:v>
      </x:c>
      <x:c r="C14" s="19" t="str">
        <x:v>Eight placeholder redirects exposed unfinished module routes.</x:v>
      </x:c>
      <x:c r="D14" s="19" t="str">
        <x:v>Medium</x:v>
      </x:c>
      <x:c r="E14" s="19" t="str"/>
      <x:c r="F14" s="19" t="str">
        <x:v>Temporary placeholder definitions remained in production routes.</x:v>
      </x:c>
      <x:c r="G14" s="19" t="str">
        <x:v>Removed placeholder routes and verified controller action resolution.</x:v>
      </x:c>
      <x:c r="H14" s="19" t="str">
        <x:v>PASS</x:v>
      </x:c>
      <x:c r="I14" s="19" t="str">
        <x:v>FIXED</x:v>
      </x:c>
    </x:row>
    <x:row r="15">
      <x:c r="A15" s="19" t="str">
        <x:v>BUG-012</x:v>
      </x:c>
      <x:c r="B15" s="19" t="str">
        <x:v>Authentication</x:v>
      </x:c>
      <x:c r="C15" s="19" t="str">
        <x:v>Login page publicly displayed default setup credentials.</x:v>
      </x:c>
      <x:c r="D15" s="19" t="str">
        <x:v>High</x:v>
      </x:c>
      <x:c r="E15" s="19" t="str">
        <x:v>login-desktop.png</x:v>
      </x:c>
      <x:c r="F15" s="19" t="str">
        <x:v>Development bootstrap hint remained in the production view.</x:v>
      </x:c>
      <x:c r="G15" s="19" t="str">
        <x:v>Removed the credential hint and default username; added autocomplete metadata and a regression assertion.</x:v>
      </x:c>
      <x:c r="H15" s="19" t="str">
        <x:v>PASS</x:v>
      </x:c>
      <x:c r="I15" s="19" t="str">
        <x:v>FIXED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86a518739c74d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23" t="str">
        <x:v>Financial Verification</x:v>
      </x:c>
      <x:c r="B1" s="24"/>
      <x:c r="C1" s="24"/>
      <x:c r="D1" s="24"/>
      <x:c r="E1" s="24"/>
      <x:c r="F1" s="24"/>
      <x:c r="G1" s="24"/>
    </x:row>
    <x:row r="2" ht="24" customHeight="1">
      <x:c r="A2" s="25" t="str">
        <x:v>Expected-versus-actual calculations retained at decimal precision</x:v>
      </x:c>
      <x:c r="B2" s="26"/>
      <x:c r="C2" s="26"/>
      <x:c r="D2" s="26"/>
      <x:c r="E2" s="26"/>
      <x:c r="F2" s="26"/>
      <x:c r="G2" s="26"/>
    </x:row>
    <x:row r="3" ht="30" customHeight="1">
      <x:c r="A3" s="27" t="str">
        <x:v>Test ID</x:v>
      </x:c>
      <x:c r="B3" s="27" t="str">
        <x:v>Calculation</x:v>
      </x:c>
      <x:c r="C3" s="27" t="str">
        <x:v>Formula / Rule</x:v>
      </x:c>
      <x:c r="D3" s="27" t="str">
        <x:v>Expected</x:v>
      </x:c>
      <x:c r="E3" s="27" t="str">
        <x:v>Actual</x:v>
      </x:c>
      <x:c r="F3" s="27" t="str">
        <x:v>Variance</x:v>
      </x:c>
      <x:c r="G3" s="27" t="str">
        <x:v>Status</x:v>
      </x:c>
    </x:row>
    <x:row r="4">
      <x:c r="A4" s="19" t="str">
        <x:v>FIN-001</x:v>
      </x:c>
      <x:c r="B4" s="19" t="str">
        <x:v>Piece/dozen conversion</x:v>
      </x:c>
      <x:c r="C4" s="19" t="str">
        <x:v>2 dozen × 12</x:v>
      </x:c>
      <x:c r="D4" s="30" t="n">
        <x:v>24</x:v>
      </x:c>
      <x:c r="E4" s="30" t="n">
        <x:v>24</x:v>
      </x:c>
      <x:c r="F4" s="30" t="n">
        <x:v>0</x:v>
      </x:c>
      <x:c r="G4" s="19" t="str">
        <x:v>PASS</x:v>
      </x:c>
    </x:row>
    <x:row r="5">
      <x:c r="A5" s="19" t="str">
        <x:v>FIN-002</x:v>
      </x:c>
      <x:c r="B5" s="19" t="str">
        <x:v>Meter/yard conversion deduction</x:v>
      </x:c>
      <x:c r="C5" s="19" t="str">
        <x:v>10 yd × 0.9144 m</x:v>
      </x:c>
      <x:c r="D5" s="30" t="n">
        <x:v>9.144</x:v>
      </x:c>
      <x:c r="E5" s="30" t="n">
        <x:v>9.144</x:v>
      </x:c>
      <x:c r="F5" s="30" t="n">
        <x:v>0</x:v>
      </x:c>
      <x:c r="G5" s="19" t="str">
        <x:v>PASS</x:v>
      </x:c>
    </x:row>
    <x:row r="6">
      <x:c r="A6" s="19" t="str">
        <x:v>FIN-003</x:v>
      </x:c>
      <x:c r="B6" s="19" t="str">
        <x:v>Weighted average cost</x:v>
      </x:c>
      <x:c r="C6" s="19" t="str">
        <x:v>Existing + received landed cost / total quantity</x:v>
      </x:c>
      <x:c r="D6" s="30" t="n">
        <x:v>166.666667</x:v>
      </x:c>
      <x:c r="E6" s="30" t="n">
        <x:v>166.666667</x:v>
      </x:c>
      <x:c r="F6" s="30" t="n">
        <x:v>0</x:v>
      </x:c>
      <x:c r="G6" s="19" t="str">
        <x:v>PASS</x:v>
      </x:c>
    </x:row>
    <x:row r="7">
      <x:c r="A7" s="19" t="str">
        <x:v>FIN-004</x:v>
      </x:c>
      <x:c r="B7" s="19" t="str">
        <x:v>Historical profit immutability</x:v>
      </x:c>
      <x:c r="C7" s="19" t="str">
        <x:v>Sale cost snapshot after later average-cost change</x:v>
      </x:c>
      <x:c r="D7" s="30" t="n">
        <x:v>80</x:v>
      </x:c>
      <x:c r="E7" s="30" t="n">
        <x:v>80</x:v>
      </x:c>
      <x:c r="F7" s="30" t="n">
        <x:v>0</x:v>
      </x:c>
      <x:c r="G7" s="19" t="str">
        <x:v>PASS</x:v>
      </x:c>
    </x:row>
    <x:row r="8">
      <x:c r="A8" s="19" t="str">
        <x:v>FIN-005</x:v>
      </x:c>
      <x:c r="B8" s="19" t="str">
        <x:v>Remnant below-cost sale</x:v>
      </x:c>
      <x:c r="C8" s="19" t="str">
        <x:v>Revenue 80 − cost 100</x:v>
      </x:c>
      <x:c r="D8" s="30" t="n">
        <x:v>-20</x:v>
      </x:c>
      <x:c r="E8" s="30" t="n">
        <x:v>-20</x:v>
      </x:c>
      <x:c r="F8" s="30" t="n">
        <x:v>0</x:v>
      </x:c>
      <x:c r="G8" s="19" t="str">
        <x:v>PASS</x:v>
      </x:c>
    </x:row>
    <x:row r="9">
      <x:c r="A9" s="19" t="str">
        <x:v>FIN-006</x:v>
      </x:c>
      <x:c r="B9" s="19" t="str">
        <x:v>Supplier due basis</x:v>
      </x:c>
      <x:c r="C9" s="19" t="str">
        <x:v>Supplier invoice − cleared payments</x:v>
      </x:c>
      <x:c r="D9" s="30" t="n">
        <x:v>1000</x:v>
      </x:c>
      <x:c r="E9" s="30" t="n">
        <x:v>1000</x:v>
      </x:c>
      <x:c r="F9" s="30" t="n">
        <x:v>0</x:v>
      </x:c>
      <x:c r="G9" s="19" t="str">
        <x:v>PASS</x:v>
      </x:c>
    </x:row>
    <x:row r="10">
      <x:c r="A10" s="19" t="str">
        <x:v>FIN-007</x:v>
      </x:c>
      <x:c r="B10" s="19" t="str">
        <x:v>Sale total equation</x:v>
      </x:c>
      <x:c r="C10" s="19" t="str">
        <x:v>Subtotal − discount + tax</x:v>
      </x:c>
      <x:c r="D10" s="30" t="n">
        <x:v>290</x:v>
      </x:c>
      <x:c r="E10" s="30" t="n">
        <x:v>290</x:v>
      </x:c>
      <x:c r="F10" s="30" t="n">
        <x:v>0</x:v>
      </x:c>
      <x:c r="G10" s="19" t="str">
        <x:v>PASS</x:v>
      </x:c>
    </x:row>
    <x:row r="11">
      <x:c r="A11" s="19" t="str">
        <x:v>FIN-008</x:v>
      </x:c>
      <x:c r="B11" s="19" t="str">
        <x:v>Checkout idempotency</x:v>
      </x:c>
      <x:c r="C11" s="19" t="str">
        <x:v>Repeated idempotency key stock deduction count</x:v>
      </x:c>
      <x:c r="D11" s="30" t="n">
        <x:v>1</x:v>
      </x:c>
      <x:c r="E11" s="30" t="n">
        <x:v>1</x:v>
      </x:c>
      <x:c r="F11" s="30" t="n">
        <x:v>0</x:v>
      </x:c>
      <x:c r="G11" s="19" t="str">
        <x:v>PASS</x:v>
      </x:c>
    </x:row>
    <x:row r="12">
      <x:c r="A12" s="19" t="str">
        <x:v>FIN-009</x:v>
      </x:c>
      <x:c r="B12" s="19" t="str">
        <x:v>Returned pending cheque due</x:v>
      </x:c>
      <x:c r="C12" s="19" t="str">
        <x:v>Invoice − cleared − returned net</x:v>
      </x:c>
      <x:c r="D12" s="30" t="n">
        <x:v>290</x:v>
      </x:c>
      <x:c r="E12" s="30" t="n">
        <x:v>290</x:v>
      </x:c>
      <x:c r="F12" s="30" t="n">
        <x:v>0</x:v>
      </x:c>
      <x:c r="G12" s="19" t="str">
        <x:v>PASS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a9f5480494945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8" hidden="0" customWidth="1"/>
    <x:col min="5" max="5" width="14" hidden="0" customWidth="1"/>
  </x:cols>
  <x:sheetData>
    <x:row r="1" ht="34" customHeight="1">
      <x:c r="A1" s="23" t="str">
        <x:v>Inventory Verification</x:v>
      </x:c>
      <x:c r="B1" s="24"/>
      <x:c r="C1" s="24"/>
      <x:c r="D1" s="24"/>
      <x:c r="E1" s="24"/>
    </x:row>
    <x:row r="2" ht="24" customHeight="1">
      <x:c r="A2" s="25" t="str">
        <x:v>Main stock, remnants, transfers, returns, filters, and cost visibility</x:v>
      </x:c>
      <x:c r="B2" s="26"/>
      <x:c r="C2" s="26"/>
      <x:c r="D2" s="26"/>
      <x:c r="E2" s="26"/>
    </x:row>
    <x:row r="3" ht="30" customHeight="1">
      <x:c r="A3" s="27" t="str">
        <x:v>Test ID</x:v>
      </x:c>
      <x:c r="B3" s="27" t="str">
        <x:v>Scenario</x:v>
      </x:c>
      <x:c r="C3" s="27" t="str">
        <x:v>Movement / Rule</x:v>
      </x:c>
      <x:c r="D3" s="27" t="str">
        <x:v>Expected Result</x:v>
      </x:c>
      <x:c r="E3" s="27" t="str">
        <x:v>Status</x:v>
      </x:c>
    </x:row>
    <x:row r="4">
      <x:c r="A4" s="19" t="str">
        <x:v>STK-001</x:v>
      </x:c>
      <x:c r="B4" s="19" t="str">
        <x:v>Main purchase receipt</x:v>
      </x:c>
      <x:c r="C4" s="19" t="str">
        <x:v>Increase main inventory</x:v>
      </x:c>
      <x:c r="D4" s="19" t="str">
        <x:v>Correct movement and balance</x:v>
      </x:c>
      <x:c r="E4" s="19" t="str">
        <x:v>PASS</x:v>
      </x:c>
    </x:row>
    <x:row r="5">
      <x:c r="A5" s="19" t="str">
        <x:v>STK-002</x:v>
      </x:c>
      <x:c r="B5" s="19" t="str">
        <x:v>Main sale</x:v>
      </x:c>
      <x:c r="C5" s="19" t="str">
        <x:v>Decrease main inventory</x:v>
      </x:c>
      <x:c r="D5" s="19" t="str">
        <x:v>Correct movement and balance</x:v>
      </x:c>
      <x:c r="E5" s="19" t="str">
        <x:v>PASS</x:v>
      </x:c>
    </x:row>
    <x:row r="6">
      <x:c r="A6" s="19" t="str">
        <x:v>STK-003</x:v>
      </x:c>
      <x:c r="B6" s="19" t="str">
        <x:v>Remnant transfer</x:v>
      </x:c>
      <x:c r="C6" s="19" t="str">
        <x:v>Main decrease + remnant increase</x:v>
      </x:c>
      <x:c r="D6" s="19" t="str">
        <x:v>Combined physical quantity preserved</x:v>
      </x:c>
      <x:c r="E6" s="19" t="str">
        <x:v>PASS</x:v>
      </x:c>
    </x:row>
    <x:row r="7">
      <x:c r="A7" s="19" t="str">
        <x:v>STK-004</x:v>
      </x:c>
      <x:c r="B7" s="19" t="str">
        <x:v>Sales return</x:v>
      </x:c>
      <x:c r="C7" s="19" t="str">
        <x:v>Reverse sale stock movement</x:v>
      </x:c>
      <x:c r="D7" s="19" t="str">
        <x:v>Stock and ledger restored</x:v>
      </x:c>
      <x:c r="E7" s="19" t="str">
        <x:v>PASS</x:v>
      </x:c>
    </x:row>
    <x:row r="8">
      <x:c r="A8" s="19" t="str">
        <x:v>STK-005</x:v>
      </x:c>
      <x:c r="B8" s="19" t="str">
        <x:v>Purchase return</x:v>
      </x:c>
      <x:c r="C8" s="19" t="str">
        <x:v>Reverse purchase stock movement</x:v>
      </x:c>
      <x:c r="D8" s="19" t="str">
        <x:v>Stock and supplier ledger restored</x:v>
      </x:c>
      <x:c r="E8" s="19" t="str">
        <x:v>PASS</x:v>
      </x:c>
    </x:row>
    <x:row r="9">
      <x:c r="A9" s="19" t="str">
        <x:v>STK-006</x:v>
      </x:c>
      <x:c r="B9" s="19" t="str">
        <x:v>Store transfer</x:v>
      </x:c>
      <x:c r="C9" s="19" t="str">
        <x:v>Source decrease + destination increase</x:v>
      </x:c>
      <x:c r="D9" s="19" t="str">
        <x:v>Combined quantity preserved</x:v>
      </x:c>
      <x:c r="E9" s="19" t="str">
        <x:v>PASS</x:v>
      </x:c>
    </x:row>
    <x:row r="10">
      <x:c r="A10" s="19" t="str">
        <x:v>STK-007</x:v>
      </x:c>
      <x:c r="B10" s="19" t="str">
        <x:v>Low-stock filter</x:v>
      </x:c>
      <x:c r="C10" s="19" t="str">
        <x:v>quantity &gt; 0 and &lt;= reorder level</x:v>
      </x:c>
      <x:c r="D10" s="19" t="str">
        <x:v>Only matching products returned</x:v>
      </x:c>
      <x:c r="E10" s="19" t="str">
        <x:v>PASS</x:v>
      </x:c>
    </x:row>
    <x:row r="11">
      <x:c r="A11" s="19" t="str">
        <x:v>STK-008</x:v>
      </x:c>
      <x:c r="B11" s="19" t="str">
        <x:v>Cost visibility</x:v>
      </x:c>
      <x:c r="C11" s="19" t="str">
        <x:v>Restricted user opens inventory</x:v>
      </x:c>
      <x:c r="D11" s="19" t="str">
        <x:v>Cost controls and columns hidden</x:v>
      </x:c>
      <x:c r="E11" s="19" t="str">
        <x:v>PASS</x:v>
      </x:c>
    </x:row>
    <x:row r="12">
      <x:c r="A12" s="19" t="str">
        <x:v>STK-009</x:v>
      </x:c>
      <x:c r="B12" s="19" t="str">
        <x:v>Last sale date</x:v>
      </x:c>
      <x:c r="C12" s="19" t="str">
        <x:v>Inventory row has completed sale item</x:v>
      </x:c>
      <x:c r="D12" s="19" t="str">
        <x:v>Latest completed sale date rendered</x:v>
      </x:c>
      <x:c r="E12" s="19" t="str">
        <x:v>PASS</x:v>
      </x:c>
    </x:row>
    <x:row r="13">
      <x:c r="A13" s="19" t="str">
        <x:v>STK-010</x:v>
      </x:c>
      <x:c r="B13" s="19" t="str">
        <x:v>Data integrity</x:v>
      </x:c>
      <x:c r="C13" s="19" t="str">
        <x:v>Read-only balance consistency checks</x:v>
      </x:c>
      <x:c r="D13" s="19" t="str">
        <x:v>Zero invalid/duplicate balances</x:v>
      </x:c>
      <x:c r="E13" s="19" t="str"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08dfe2f274d41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8" hidden="0" customWidth="1"/>
    <x:col min="5" max="5" width="14" hidden="0" customWidth="1"/>
  </x:cols>
  <x:sheetData>
    <x:row r="1" ht="34" customHeight="1">
      <x:c r="A1" s="23" t="str">
        <x:v>Cheque Verification</x:v>
      </x:c>
      <x:c r="B1" s="24"/>
      <x:c r="C1" s="24"/>
      <x:c r="D1" s="24"/>
      <x:c r="E1" s="24"/>
    </x:row>
    <x:row r="2" ht="24" customHeight="1">
      <x:c r="A2" s="25" t="str">
        <x:v>Received, issued, endorsed, passed, returned, and duplicate-processing scenarios</x:v>
      </x:c>
      <x:c r="B2" s="26"/>
      <x:c r="C2" s="26"/>
      <x:c r="D2" s="26"/>
      <x:c r="E2" s="26"/>
    </x:row>
    <x:row r="3" ht="30" customHeight="1">
      <x:c r="A3" s="27" t="str">
        <x:v>Test ID</x:v>
      </x:c>
      <x:c r="B3" s="27" t="str">
        <x:v>Scenario</x:v>
      </x:c>
      <x:c r="C3" s="27" t="str">
        <x:v>Action</x:v>
      </x:c>
      <x:c r="D3" s="27" t="str">
        <x:v>Expected Result</x:v>
      </x:c>
      <x:c r="E3" s="27" t="str">
        <x:v>Status</x:v>
      </x:c>
    </x:row>
    <x:row r="4">
      <x:c r="A4" s="19" t="str">
        <x:v>CHQ-001</x:v>
      </x:c>
      <x:c r="B4" s="19" t="str">
        <x:v>Received cheque pending</x:v>
      </x:c>
      <x:c r="C4" s="19" t="str">
        <x:v>Create customer cheque</x:v>
      </x:c>
      <x:c r="D4" s="19" t="str">
        <x:v>Pending does not count as cleared payment</x:v>
      </x:c>
      <x:c r="E4" s="19" t="str">
        <x:v>PASS</x:v>
      </x:c>
    </x:row>
    <x:row r="5">
      <x:c r="A5" s="19" t="str">
        <x:v>CHQ-002</x:v>
      </x:c>
      <x:c r="B5" s="19" t="str">
        <x:v>Pass received cheque</x:v>
      </x:c>
      <x:c r="C5" s="19" t="str">
        <x:v>Mark cheque cleared once</x:v>
      </x:c>
      <x:c r="D5" s="19" t="str">
        <x:v>Customer due decreases once</x:v>
      </x:c>
      <x:c r="E5" s="19" t="str">
        <x:v>PASS</x:v>
      </x:c>
    </x:row>
    <x:row r="6">
      <x:c r="A6" s="19" t="str">
        <x:v>CHQ-003</x:v>
      </x:c>
      <x:c r="B6" s="19" t="str">
        <x:v>Double-pass prevention</x:v>
      </x:c>
      <x:c r="C6" s="19" t="str">
        <x:v>Attempt second pass</x:v>
      </x:c>
      <x:c r="D6" s="19" t="str">
        <x:v>No duplicate ledger or due change</x:v>
      </x:c>
      <x:c r="E6" s="19" t="str">
        <x:v>PASS</x:v>
      </x:c>
    </x:row>
    <x:row r="7">
      <x:c r="A7" s="19" t="str">
        <x:v>CHQ-004</x:v>
      </x:c>
      <x:c r="B7" s="19" t="str">
        <x:v>Return received cheque</x:v>
      </x:c>
      <x:c r="C7" s="19" t="str">
        <x:v>Return previously passed cheque</x:v>
      </x:c>
      <x:c r="D7" s="19" t="str">
        <x:v>Customer due restored</x:v>
      </x:c>
      <x:c r="E7" s="19" t="str">
        <x:v>PASS</x:v>
      </x:c>
    </x:row>
    <x:row r="8">
      <x:c r="A8" s="19" t="str">
        <x:v>CHQ-005</x:v>
      </x:c>
      <x:c r="B8" s="19" t="str">
        <x:v>Endorse cheque</x:v>
      </x:c>
      <x:c r="C8" s="19" t="str">
        <x:v>Transfer received cheque to supplier</x:v>
      </x:c>
      <x:c r="D8" s="19" t="str">
        <x:v>Single cheque links both parties</x:v>
      </x:c>
      <x:c r="E8" s="19" t="str">
        <x:v>PASS</x:v>
      </x:c>
    </x:row>
    <x:row r="9">
      <x:c r="A9" s="19" t="str">
        <x:v>CHQ-006</x:v>
      </x:c>
      <x:c r="B9" s="19" t="str">
        <x:v>Pass endorsed cheque</x:v>
      </x:c>
      <x:c r="C9" s="19" t="str">
        <x:v>Clear endorsed cheque</x:v>
      </x:c>
      <x:c r="D9" s="19" t="str">
        <x:v>Customer and supplier ledgers clear once</x:v>
      </x:c>
      <x:c r="E9" s="19" t="str">
        <x:v>PASS</x:v>
      </x:c>
    </x:row>
    <x:row r="10">
      <x:c r="A10" s="19" t="str">
        <x:v>CHQ-007</x:v>
      </x:c>
      <x:c r="B10" s="19" t="str">
        <x:v>Return endorsed/own cheque</x:v>
      </x:c>
      <x:c r="C10" s="19" t="str">
        <x:v>Return cheque by origin</x:v>
      </x:c>
      <x:c r="D10" s="19" t="str">
        <x:v>Only correct party due is restored</x:v>
      </x:c>
      <x:c r="E10" s="19" t="str"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cf246d46c6646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24" hidden="0" customWidth="1"/>
    <x:col min="5" max="5" width="24" hidden="0" customWidth="1"/>
  </x:cols>
  <x:sheetData>
    <x:row r="1" ht="34" customHeight="1">
      <x:c r="A1" s="23" t="str">
        <x:v>Remaining Recommendations</x:v>
      </x:c>
      <x:c r="B1" s="24"/>
      <x:c r="C1" s="24"/>
      <x:c r="D1" s="24"/>
      <x:c r="E1" s="24"/>
    </x:row>
    <x:row r="2" ht="24" customHeight="1">
      <x:c r="A2" s="25" t="str">
        <x:v>Genuine non-critical deployment and operational enhancements only</x:v>
      </x:c>
      <x:c r="B2" s="26"/>
      <x:c r="C2" s="26"/>
      <x:c r="D2" s="26"/>
      <x:c r="E2" s="26"/>
    </x:row>
    <x:row r="3" ht="30" customHeight="1">
      <x:c r="A3" s="27" t="str">
        <x:v>Recommendation ID</x:v>
      </x:c>
      <x:c r="B3" s="27" t="str">
        <x:v>Area</x:v>
      </x:c>
      <x:c r="C3" s="27" t="str">
        <x:v>Recommendation</x:v>
      </x:c>
      <x:c r="D3" s="27" t="str">
        <x:v>Target</x:v>
      </x:c>
      <x:c r="E3" s="27" t="str">
        <x:v>Owner</x:v>
      </x:c>
    </x:row>
    <x:row r="4">
      <x:c r="A4" s="19" t="str">
        <x:v>REC-001</x:v>
      </x:c>
      <x:c r="B4" s="19" t="str">
        <x:v>Deployment</x:v>
      </x:c>
      <x:c r="C4" s="19" t="str">
        <x:v>Set the final HTTPS production domain, reverse-proxy headers, and trusted proxy list during hosting deployment.</x:v>
      </x:c>
      <x:c r="D4" s="19" t="str">
        <x:v>Before go-live</x:v>
      </x:c>
      <x:c r="E4" s="19" t="str">
        <x:v>Operations</x:v>
      </x:c>
    </x:row>
    <x:row r="5">
      <x:c r="A5" s="19" t="str">
        <x:v>REC-002</x:v>
      </x:c>
      <x:c r="B5" s="19" t="str">
        <x:v>SMS</x:v>
      </x:c>
      <x:c r="C5" s="19" t="str">
        <x:v>Run one controlled live SMS send with the real gateway account; credentials and third-party delivery were intentionally not exercised in audit.</x:v>
      </x:c>
      <x:c r="D5" s="19" t="str">
        <x:v>Before enabling SMS</x:v>
      </x:c>
      <x:c r="E5" s="19" t="str">
        <x:v>Operations</x:v>
      </x:c>
    </x:row>
    <x:row r="6">
      <x:c r="A6" s="19" t="str">
        <x:v>REC-003</x:v>
      </x:c>
      <x:c r="B6" s="19" t="str">
        <x:v>Backups</x:v>
      </x:c>
      <x:c r="C6" s="19" t="str">
        <x:v>Schedule off-host encrypted database/file backups and perform a quarterly restore drill.</x:v>
      </x:c>
      <x:c r="D6" s="19" t="str">
        <x:v>30 days</x:v>
      </x:c>
      <x:c r="E6" s="19" t="str">
        <x:v>Operations</x:v>
      </x:c>
    </x:row>
    <x:row r="7">
      <x:c r="A7" s="19" t="str">
        <x:v>REC-004</x:v>
      </x:c>
      <x:c r="B7" s="19" t="str">
        <x:v>Observability</x:v>
      </x:c>
      <x:c r="C7" s="19" t="str">
        <x:v>Connect centralized error monitoring and uptime checks for the final hosted domain.</x:v>
      </x:c>
      <x:c r="D7" s="19" t="str">
        <x:v>30 days</x:v>
      </x:c>
      <x:c r="E7" s="19" t="str">
        <x:v>Operations</x:v>
      </x:c>
    </x:row>
    <x:row r="8">
      <x:c r="A8" s="19" t="str">
        <x:v>REC-005</x:v>
      </x:c>
      <x:c r="B8" s="19" t="str">
        <x:v>Performance</x:v>
      </x:c>
      <x:c r="C8" s="19" t="str">
        <x:v>Load-test product search and reports with the expected production catalogue size and concurrent cashier count.</x:v>
      </x:c>
      <x:c r="D8" s="19" t="str">
        <x:v>Before high-volume rollout</x:v>
      </x:c>
      <x:c r="E8" s="19" t="str">
        <x:v>Engineering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0016a781d7d4fcc"/>
  </x:tableParts>
</x:worksheet>
</file>